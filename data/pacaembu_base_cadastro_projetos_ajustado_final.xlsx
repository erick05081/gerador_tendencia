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caembuconstrutora-my.sharepoint.com/personal/erick_souza_pacaembu_com/Documents/Área de Trabalho/Carga inicial VP6/"/>
    </mc:Choice>
  </mc:AlternateContent>
  <xr:revisionPtr revIDLastSave="235" documentId="8_{B4108A93-111A-43A6-9219-4F56B1924EE2}" xr6:coauthVersionLast="47" xr6:coauthVersionMax="47" xr10:uidLastSave="{51133B76-B35D-4235-89F6-ADDEF853AECF}"/>
  <bookViews>
    <workbookView xWindow="-108" yWindow="-108" windowWidth="23256" windowHeight="12456" tabRatio="899" activeTab="4" xr2:uid="{1BCF9129-4DE7-45BB-A58A-B306ACDF8C4E}"/>
  </bookViews>
  <sheets>
    <sheet name="Comercial" sheetId="2" r:id="rId1"/>
    <sheet name="Obras" sheetId="6" r:id="rId2"/>
    <sheet name="DI" sheetId="5" r:id="rId3"/>
    <sheet name="Proj. Infra" sheetId="7" r:id="rId4"/>
    <sheet name="Projeto" sheetId="8" r:id="rId5"/>
    <sheet name="Empresa" sheetId="4" r:id="rId6"/>
    <sheet name="Centro de Custo" sheetId="3" r:id="rId7"/>
    <sheet name="Empreendimento" sheetId="9" r:id="rId8"/>
    <sheet name="Módulo" sheetId="10" r:id="rId9"/>
  </sheets>
  <definedNames>
    <definedName name="_xlnm._FilterDatabase" localSheetId="8" hidden="1">Módulo!$A$1:$E$187</definedName>
    <definedName name="_xlnm._FilterDatabase" localSheetId="4" hidden="1">Projeto!$A$1:$H$313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2" i="8" l="1"/>
  <c r="H123" i="8"/>
  <c r="H37" i="8"/>
  <c r="H38" i="8"/>
  <c r="H30" i="8"/>
  <c r="H10" i="8"/>
  <c r="G10" i="8"/>
  <c r="G186" i="8"/>
  <c r="F186" i="8"/>
  <c r="G120" i="8"/>
  <c r="F120" i="8"/>
  <c r="G310" i="8"/>
  <c r="F310" i="8"/>
  <c r="G309" i="8"/>
  <c r="F309" i="8"/>
  <c r="G308" i="8"/>
  <c r="F308" i="8"/>
  <c r="G307" i="8"/>
  <c r="F307" i="8"/>
  <c r="G306" i="8"/>
  <c r="F306" i="8"/>
  <c r="G305" i="8"/>
  <c r="F305" i="8"/>
  <c r="G304" i="8"/>
  <c r="F304" i="8"/>
  <c r="G232" i="8"/>
  <c r="F232" i="8"/>
  <c r="G231" i="8"/>
  <c r="F231" i="8"/>
  <c r="G230" i="8"/>
  <c r="F230" i="8"/>
  <c r="G229" i="8"/>
  <c r="F229" i="8"/>
  <c r="G228" i="8"/>
  <c r="F228" i="8"/>
  <c r="G227" i="8"/>
  <c r="F227" i="8"/>
  <c r="G226" i="8"/>
  <c r="F226" i="8"/>
  <c r="G225" i="8"/>
  <c r="F225" i="8"/>
  <c r="G224" i="8"/>
  <c r="F224" i="8"/>
  <c r="G223" i="8"/>
  <c r="F223" i="8"/>
  <c r="G222" i="8"/>
  <c r="F222" i="8"/>
  <c r="G221" i="8"/>
  <c r="F221" i="8"/>
  <c r="G220" i="8"/>
  <c r="F220" i="8"/>
  <c r="G219" i="8"/>
  <c r="F219" i="8"/>
  <c r="G218" i="8"/>
  <c r="F218" i="8"/>
  <c r="G217" i="8"/>
  <c r="F217" i="8"/>
  <c r="G216" i="8"/>
  <c r="F216" i="8"/>
  <c r="G147" i="8"/>
  <c r="F147" i="8"/>
  <c r="H300" i="8"/>
  <c r="G300" i="8"/>
  <c r="F300" i="8"/>
  <c r="F121" i="8"/>
  <c r="G121" i="8"/>
  <c r="H121" i="8"/>
  <c r="G146" i="8"/>
  <c r="F146" i="8"/>
  <c r="G91" i="8"/>
  <c r="F91" i="8"/>
  <c r="G51" i="8"/>
  <c r="F51" i="8"/>
  <c r="H31" i="8"/>
  <c r="G31" i="8"/>
  <c r="F31" i="8"/>
  <c r="H4" i="8" l="1"/>
  <c r="H5" i="8"/>
  <c r="H6" i="8"/>
  <c r="H7" i="8"/>
  <c r="H8" i="8"/>
  <c r="H9" i="8"/>
  <c r="H11" i="8"/>
  <c r="H12" i="8"/>
  <c r="H15" i="8"/>
  <c r="H16" i="8"/>
  <c r="H17" i="8"/>
  <c r="H18" i="8"/>
  <c r="H19" i="8"/>
  <c r="H20" i="8"/>
  <c r="H21" i="8"/>
  <c r="H23" i="8"/>
  <c r="H26" i="8"/>
  <c r="H27" i="8"/>
  <c r="H28" i="8"/>
  <c r="H29" i="8"/>
  <c r="H33" i="8"/>
  <c r="H36" i="8"/>
  <c r="H39" i="8"/>
  <c r="H40" i="8"/>
  <c r="H41" i="8"/>
  <c r="H42" i="8"/>
  <c r="H45" i="8"/>
  <c r="H46" i="8"/>
  <c r="H47" i="8"/>
  <c r="H58" i="8"/>
  <c r="H59" i="8"/>
  <c r="H57" i="8"/>
  <c r="H62" i="8"/>
  <c r="H66" i="8"/>
  <c r="H67" i="8"/>
  <c r="H68" i="8"/>
  <c r="H69" i="8"/>
  <c r="H70" i="8"/>
  <c r="H71" i="8"/>
  <c r="H77" i="8"/>
  <c r="H78" i="8"/>
  <c r="H79" i="8"/>
  <c r="H80" i="8"/>
  <c r="H85" i="8"/>
  <c r="H82" i="8"/>
  <c r="H83" i="8"/>
  <c r="H84" i="8"/>
  <c r="H86" i="8"/>
  <c r="H87" i="8"/>
  <c r="H88" i="8"/>
  <c r="H89" i="8"/>
  <c r="H90" i="8"/>
  <c r="H92" i="8"/>
  <c r="H100" i="8"/>
  <c r="H101" i="8"/>
  <c r="H105" i="8"/>
  <c r="H107" i="8"/>
  <c r="H108" i="8"/>
  <c r="H110" i="8"/>
  <c r="H111" i="8"/>
  <c r="H112" i="8"/>
  <c r="H113" i="8"/>
  <c r="H114" i="8"/>
  <c r="H115" i="8"/>
  <c r="H124" i="8"/>
  <c r="H125" i="8"/>
  <c r="H126" i="8"/>
  <c r="H128" i="8"/>
  <c r="H129" i="8"/>
  <c r="H130" i="8"/>
  <c r="H131" i="8"/>
  <c r="H133" i="8"/>
  <c r="H134" i="8"/>
  <c r="H137" i="8"/>
  <c r="H138" i="8"/>
  <c r="H139" i="8"/>
  <c r="H140" i="8"/>
  <c r="H141" i="8"/>
  <c r="H142" i="8"/>
  <c r="H143" i="8"/>
  <c r="H144" i="8"/>
  <c r="H150" i="8"/>
  <c r="H151" i="8"/>
  <c r="H152" i="8"/>
  <c r="H153" i="8"/>
  <c r="H154" i="8"/>
  <c r="H155" i="8"/>
  <c r="H170" i="8"/>
  <c r="H171" i="8"/>
  <c r="H172" i="8"/>
  <c r="H173" i="8"/>
  <c r="H174" i="8"/>
  <c r="H175" i="8"/>
  <c r="H176" i="8"/>
  <c r="H182" i="8"/>
  <c r="H183" i="8"/>
  <c r="H184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10" i="8"/>
  <c r="H211" i="8"/>
  <c r="H215" i="8"/>
  <c r="H219" i="8"/>
  <c r="H220" i="8"/>
  <c r="H221" i="8"/>
  <c r="H222" i="8"/>
  <c r="H223" i="8"/>
  <c r="H224" i="8"/>
  <c r="H226" i="8"/>
  <c r="H227" i="8"/>
  <c r="H228" i="8"/>
  <c r="H229" i="8"/>
  <c r="H230" i="8"/>
  <c r="H231" i="8"/>
  <c r="H233" i="8"/>
  <c r="H234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4" i="8"/>
  <c r="H255" i="8"/>
  <c r="H256" i="8"/>
  <c r="H260" i="8"/>
  <c r="H261" i="8"/>
  <c r="H262" i="8"/>
  <c r="H263" i="8"/>
  <c r="H264" i="8"/>
  <c r="H265" i="8"/>
  <c r="H266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307" i="8"/>
  <c r="H308" i="8"/>
  <c r="H309" i="8"/>
  <c r="H310" i="8"/>
  <c r="H3" i="8"/>
  <c r="H13" i="8"/>
  <c r="H14" i="8"/>
  <c r="H22" i="8"/>
  <c r="H24" i="8"/>
  <c r="H25" i="8"/>
  <c r="H32" i="8"/>
  <c r="H34" i="8"/>
  <c r="H35" i="8"/>
  <c r="H43" i="8"/>
  <c r="H44" i="8"/>
  <c r="H52" i="8"/>
  <c r="H53" i="8"/>
  <c r="H54" i="8"/>
  <c r="H55" i="8"/>
  <c r="H56" i="8"/>
  <c r="H60" i="8"/>
  <c r="H61" i="8"/>
  <c r="H65" i="8"/>
  <c r="H72" i="8"/>
  <c r="H73" i="8"/>
  <c r="H74" i="8"/>
  <c r="H75" i="8"/>
  <c r="H76" i="8"/>
  <c r="H81" i="8"/>
  <c r="H102" i="8"/>
  <c r="H103" i="8"/>
  <c r="H104" i="8"/>
  <c r="H106" i="8"/>
  <c r="H109" i="8"/>
  <c r="H116" i="8"/>
  <c r="H117" i="8"/>
  <c r="H127" i="8"/>
  <c r="H132" i="8"/>
  <c r="H136" i="8"/>
  <c r="H135" i="8"/>
  <c r="H145" i="8"/>
  <c r="H148" i="8"/>
  <c r="H149" i="8"/>
  <c r="H156" i="8"/>
  <c r="H157" i="8"/>
  <c r="H158" i="8"/>
  <c r="H159" i="8"/>
  <c r="H168" i="8"/>
  <c r="H160" i="8"/>
  <c r="H161" i="8"/>
  <c r="H162" i="8"/>
  <c r="H163" i="8"/>
  <c r="H164" i="8"/>
  <c r="H169" i="8"/>
  <c r="H165" i="8"/>
  <c r="H166" i="8"/>
  <c r="H167" i="8"/>
  <c r="H177" i="8"/>
  <c r="H178" i="8"/>
  <c r="H179" i="8"/>
  <c r="H180" i="8"/>
  <c r="H181" i="8"/>
  <c r="H188" i="8"/>
  <c r="H209" i="8"/>
  <c r="H212" i="8"/>
  <c r="H213" i="8"/>
  <c r="H214" i="8"/>
  <c r="H217" i="8"/>
  <c r="H218" i="8"/>
  <c r="H225" i="8"/>
  <c r="H232" i="8"/>
  <c r="H235" i="8"/>
  <c r="H236" i="8"/>
  <c r="H252" i="8"/>
  <c r="H253" i="8"/>
  <c r="H257" i="8"/>
  <c r="H267" i="8"/>
  <c r="H306" i="8"/>
  <c r="H2" i="8"/>
  <c r="F4" i="8"/>
  <c r="F5" i="8"/>
  <c r="F6" i="8"/>
  <c r="F7" i="8"/>
  <c r="F8" i="8"/>
  <c r="F9" i="8"/>
  <c r="F11" i="8"/>
  <c r="F12" i="8"/>
  <c r="F15" i="8"/>
  <c r="F16" i="8"/>
  <c r="F17" i="8"/>
  <c r="F18" i="8"/>
  <c r="F19" i="8"/>
  <c r="F20" i="8"/>
  <c r="F21" i="8"/>
  <c r="F23" i="8"/>
  <c r="F26" i="8"/>
  <c r="F27" i="8"/>
  <c r="F28" i="8"/>
  <c r="F29" i="8"/>
  <c r="F33" i="8"/>
  <c r="F36" i="8"/>
  <c r="F39" i="8"/>
  <c r="F40" i="8"/>
  <c r="F41" i="8"/>
  <c r="F42" i="8"/>
  <c r="F45" i="8"/>
  <c r="F46" i="8"/>
  <c r="F47" i="8"/>
  <c r="F58" i="8"/>
  <c r="F59" i="8"/>
  <c r="F57" i="8"/>
  <c r="F62" i="8"/>
  <c r="F66" i="8"/>
  <c r="F67" i="8"/>
  <c r="F68" i="8"/>
  <c r="F69" i="8"/>
  <c r="F70" i="8"/>
  <c r="F71" i="8"/>
  <c r="F77" i="8"/>
  <c r="F78" i="8"/>
  <c r="F79" i="8"/>
  <c r="F80" i="8"/>
  <c r="F85" i="8"/>
  <c r="F82" i="8"/>
  <c r="F83" i="8"/>
  <c r="F84" i="8"/>
  <c r="F86" i="8"/>
  <c r="F87" i="8"/>
  <c r="F88" i="8"/>
  <c r="F89" i="8"/>
  <c r="F90" i="8"/>
  <c r="F92" i="8"/>
  <c r="F100" i="8"/>
  <c r="F101" i="8"/>
  <c r="F105" i="8"/>
  <c r="F107" i="8"/>
  <c r="F108" i="8"/>
  <c r="F110" i="8"/>
  <c r="F111" i="8"/>
  <c r="F112" i="8"/>
  <c r="F113" i="8"/>
  <c r="F114" i="8"/>
  <c r="F115" i="8"/>
  <c r="F119" i="8"/>
  <c r="F124" i="8"/>
  <c r="F125" i="8"/>
  <c r="F126" i="8"/>
  <c r="F128" i="8"/>
  <c r="F129" i="8"/>
  <c r="F130" i="8"/>
  <c r="F131" i="8"/>
  <c r="F133" i="8"/>
  <c r="F134" i="8"/>
  <c r="F137" i="8"/>
  <c r="F138" i="8"/>
  <c r="F139" i="8"/>
  <c r="F140" i="8"/>
  <c r="F141" i="8"/>
  <c r="F142" i="8"/>
  <c r="F143" i="8"/>
  <c r="F144" i="8"/>
  <c r="F150" i="8"/>
  <c r="F151" i="8"/>
  <c r="F152" i="8"/>
  <c r="F153" i="8"/>
  <c r="F154" i="8"/>
  <c r="F155" i="8"/>
  <c r="F170" i="8"/>
  <c r="F171" i="8"/>
  <c r="F172" i="8"/>
  <c r="F173" i="8"/>
  <c r="F174" i="8"/>
  <c r="F175" i="8"/>
  <c r="F176" i="8"/>
  <c r="F182" i="8"/>
  <c r="F183" i="8"/>
  <c r="F184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10" i="8"/>
  <c r="F211" i="8"/>
  <c r="F215" i="8"/>
  <c r="F233" i="8"/>
  <c r="F234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4" i="8"/>
  <c r="F255" i="8"/>
  <c r="F256" i="8"/>
  <c r="F260" i="8"/>
  <c r="F261" i="8"/>
  <c r="F262" i="8"/>
  <c r="F263" i="8"/>
  <c r="F264" i="8"/>
  <c r="F265" i="8"/>
  <c r="F266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3" i="8"/>
  <c r="F13" i="8"/>
  <c r="F14" i="8"/>
  <c r="F22" i="8"/>
  <c r="F24" i="8"/>
  <c r="F25" i="8"/>
  <c r="F32" i="8"/>
  <c r="F34" i="8"/>
  <c r="F35" i="8"/>
  <c r="F43" i="8"/>
  <c r="F44" i="8"/>
  <c r="F48" i="8"/>
  <c r="F49" i="8"/>
  <c r="F50" i="8"/>
  <c r="F52" i="8"/>
  <c r="F53" i="8"/>
  <c r="F54" i="8"/>
  <c r="F55" i="8"/>
  <c r="F56" i="8"/>
  <c r="F60" i="8"/>
  <c r="F61" i="8"/>
  <c r="F65" i="8"/>
  <c r="F72" i="8"/>
  <c r="F73" i="8"/>
  <c r="F74" i="8"/>
  <c r="F75" i="8"/>
  <c r="F76" i="8"/>
  <c r="F81" i="8"/>
  <c r="F102" i="8"/>
  <c r="F103" i="8"/>
  <c r="F104" i="8"/>
  <c r="F106" i="8"/>
  <c r="F109" i="8"/>
  <c r="F116" i="8"/>
  <c r="F117" i="8"/>
  <c r="F118" i="8"/>
  <c r="F127" i="8"/>
  <c r="F132" i="8"/>
  <c r="F136" i="8"/>
  <c r="F135" i="8"/>
  <c r="F145" i="8"/>
  <c r="F148" i="8"/>
  <c r="F149" i="8"/>
  <c r="F156" i="8"/>
  <c r="F157" i="8"/>
  <c r="F158" i="8"/>
  <c r="F159" i="8"/>
  <c r="F168" i="8"/>
  <c r="F160" i="8"/>
  <c r="F161" i="8"/>
  <c r="F162" i="8"/>
  <c r="F163" i="8"/>
  <c r="F164" i="8"/>
  <c r="F169" i="8"/>
  <c r="F165" i="8"/>
  <c r="F166" i="8"/>
  <c r="F167" i="8"/>
  <c r="F177" i="8"/>
  <c r="F178" i="8"/>
  <c r="F179" i="8"/>
  <c r="F180" i="8"/>
  <c r="F181" i="8"/>
  <c r="F185" i="8"/>
  <c r="F187" i="8"/>
  <c r="F188" i="8"/>
  <c r="F209" i="8"/>
  <c r="F212" i="8"/>
  <c r="F213" i="8"/>
  <c r="F214" i="8"/>
  <c r="F235" i="8"/>
  <c r="F236" i="8"/>
  <c r="F303" i="8"/>
  <c r="F252" i="8"/>
  <c r="F253" i="8"/>
  <c r="F257" i="8"/>
  <c r="F259" i="8"/>
  <c r="F267" i="8"/>
  <c r="F2" i="8"/>
  <c r="G11" i="8"/>
  <c r="G12" i="8"/>
  <c r="G15" i="8"/>
  <c r="G16" i="8"/>
  <c r="G17" i="8"/>
  <c r="G18" i="8"/>
  <c r="G19" i="8"/>
  <c r="G20" i="8"/>
  <c r="G21" i="8"/>
  <c r="G23" i="8"/>
  <c r="G26" i="8"/>
  <c r="G27" i="8"/>
  <c r="G28" i="8"/>
  <c r="G29" i="8"/>
  <c r="G33" i="8"/>
  <c r="G36" i="8"/>
  <c r="G39" i="8"/>
  <c r="G40" i="8"/>
  <c r="G41" i="8"/>
  <c r="G42" i="8"/>
  <c r="G45" i="8"/>
  <c r="G46" i="8"/>
  <c r="G47" i="8"/>
  <c r="G58" i="8"/>
  <c r="G59" i="8"/>
  <c r="G57" i="8"/>
  <c r="G62" i="8"/>
  <c r="G66" i="8"/>
  <c r="G67" i="8"/>
  <c r="G68" i="8"/>
  <c r="G69" i="8"/>
  <c r="G70" i="8"/>
  <c r="G71" i="8"/>
  <c r="G77" i="8"/>
  <c r="G78" i="8"/>
  <c r="G79" i="8"/>
  <c r="G80" i="8"/>
  <c r="G85" i="8"/>
  <c r="G82" i="8"/>
  <c r="G83" i="8"/>
  <c r="G84" i="8"/>
  <c r="G86" i="8"/>
  <c r="G87" i="8"/>
  <c r="G88" i="8"/>
  <c r="G89" i="8"/>
  <c r="G90" i="8"/>
  <c r="G92" i="8"/>
  <c r="G100" i="8"/>
  <c r="G101" i="8"/>
  <c r="G105" i="8"/>
  <c r="G107" i="8"/>
  <c r="G108" i="8"/>
  <c r="G110" i="8"/>
  <c r="G111" i="8"/>
  <c r="G112" i="8"/>
  <c r="G113" i="8"/>
  <c r="G114" i="8"/>
  <c r="G115" i="8"/>
  <c r="G119" i="8"/>
  <c r="G124" i="8"/>
  <c r="G125" i="8"/>
  <c r="G126" i="8"/>
  <c r="G128" i="8"/>
  <c r="G129" i="8"/>
  <c r="G130" i="8"/>
  <c r="G131" i="8"/>
  <c r="G133" i="8"/>
  <c r="G134" i="8"/>
  <c r="G137" i="8"/>
  <c r="G138" i="8"/>
  <c r="G139" i="8"/>
  <c r="G140" i="8"/>
  <c r="G141" i="8"/>
  <c r="G142" i="8"/>
  <c r="G143" i="8"/>
  <c r="G144" i="8"/>
  <c r="G150" i="8"/>
  <c r="G151" i="8"/>
  <c r="G152" i="8"/>
  <c r="G153" i="8"/>
  <c r="G154" i="8"/>
  <c r="G155" i="8"/>
  <c r="G170" i="8"/>
  <c r="G171" i="8"/>
  <c r="G172" i="8"/>
  <c r="G173" i="8"/>
  <c r="G174" i="8"/>
  <c r="G175" i="8"/>
  <c r="G176" i="8"/>
  <c r="G182" i="8"/>
  <c r="G183" i="8"/>
  <c r="G184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10" i="8"/>
  <c r="G211" i="8"/>
  <c r="G215" i="8"/>
  <c r="G233" i="8"/>
  <c r="G234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4" i="8"/>
  <c r="G255" i="8"/>
  <c r="G256" i="8"/>
  <c r="G260" i="8"/>
  <c r="G261" i="8"/>
  <c r="G262" i="8"/>
  <c r="G263" i="8"/>
  <c r="G264" i="8"/>
  <c r="G265" i="8"/>
  <c r="G266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3" i="8"/>
  <c r="G13" i="8"/>
  <c r="G14" i="8"/>
  <c r="G22" i="8"/>
  <c r="G24" i="8"/>
  <c r="G25" i="8"/>
  <c r="G32" i="8"/>
  <c r="G34" i="8"/>
  <c r="G35" i="8"/>
  <c r="G43" i="8"/>
  <c r="G44" i="8"/>
  <c r="G48" i="8"/>
  <c r="G49" i="8"/>
  <c r="G50" i="8"/>
  <c r="G52" i="8"/>
  <c r="G53" i="8"/>
  <c r="G54" i="8"/>
  <c r="G55" i="8"/>
  <c r="G56" i="8"/>
  <c r="G60" i="8"/>
  <c r="G61" i="8"/>
  <c r="G65" i="8"/>
  <c r="G72" i="8"/>
  <c r="G73" i="8"/>
  <c r="G74" i="8"/>
  <c r="G75" i="8"/>
  <c r="G76" i="8"/>
  <c r="G81" i="8"/>
  <c r="G102" i="8"/>
  <c r="G103" i="8"/>
  <c r="G104" i="8"/>
  <c r="G106" i="8"/>
  <c r="G109" i="8"/>
  <c r="G116" i="8"/>
  <c r="G117" i="8"/>
  <c r="G118" i="8"/>
  <c r="G127" i="8"/>
  <c r="G132" i="8"/>
  <c r="G136" i="8"/>
  <c r="G135" i="8"/>
  <c r="G145" i="8"/>
  <c r="G148" i="8"/>
  <c r="G149" i="8"/>
  <c r="G156" i="8"/>
  <c r="G157" i="8"/>
  <c r="G158" i="8"/>
  <c r="G159" i="8"/>
  <c r="G168" i="8"/>
  <c r="G160" i="8"/>
  <c r="G161" i="8"/>
  <c r="G162" i="8"/>
  <c r="G163" i="8"/>
  <c r="G164" i="8"/>
  <c r="G169" i="8"/>
  <c r="G165" i="8"/>
  <c r="G166" i="8"/>
  <c r="G167" i="8"/>
  <c r="G177" i="8"/>
  <c r="G178" i="8"/>
  <c r="G179" i="8"/>
  <c r="G180" i="8"/>
  <c r="G181" i="8"/>
  <c r="G185" i="8"/>
  <c r="G187" i="8"/>
  <c r="G188" i="8"/>
  <c r="G209" i="8"/>
  <c r="G212" i="8"/>
  <c r="G213" i="8"/>
  <c r="G214" i="8"/>
  <c r="G235" i="8"/>
  <c r="G236" i="8"/>
  <c r="G303" i="8"/>
  <c r="G252" i="8"/>
  <c r="G253" i="8"/>
  <c r="G257" i="8"/>
  <c r="G259" i="8"/>
  <c r="G267" i="8"/>
  <c r="G4" i="8"/>
  <c r="G5" i="8"/>
  <c r="G6" i="8"/>
  <c r="G7" i="8"/>
  <c r="G8" i="8"/>
  <c r="G9" i="8"/>
  <c r="G2" i="8"/>
</calcChain>
</file>

<file path=xl/sharedStrings.xml><?xml version="1.0" encoding="utf-8"?>
<sst xmlns="http://schemas.openxmlformats.org/spreadsheetml/2006/main" count="1854" uniqueCount="585">
  <si>
    <t>nome</t>
  </si>
  <si>
    <t>empresa</t>
  </si>
  <si>
    <t>codigo</t>
  </si>
  <si>
    <t>numero do modulo</t>
  </si>
  <si>
    <t>quantidade unidades</t>
  </si>
  <si>
    <t>contrato pai</t>
  </si>
  <si>
    <t>projeto</t>
  </si>
  <si>
    <t>regional comercial</t>
  </si>
  <si>
    <t>obras</t>
  </si>
  <si>
    <t>projeto infraestrutura</t>
  </si>
  <si>
    <t>uf</t>
  </si>
  <si>
    <t>municipio</t>
  </si>
  <si>
    <t>São Paulo 01</t>
  </si>
  <si>
    <t>São Paulo 02</t>
  </si>
  <si>
    <t>São Paulo 03</t>
  </si>
  <si>
    <t>São Paulo 04</t>
  </si>
  <si>
    <t>São Paulo 05</t>
  </si>
  <si>
    <t>SP01</t>
  </si>
  <si>
    <t>SP02</t>
  </si>
  <si>
    <t>SP03</t>
  </si>
  <si>
    <t>SP04</t>
  </si>
  <si>
    <t>SP05</t>
  </si>
  <si>
    <t>PR</t>
  </si>
  <si>
    <t>Paraná</t>
  </si>
  <si>
    <t>Minas Gerais</t>
  </si>
  <si>
    <t>MG</t>
  </si>
  <si>
    <t>Mato Grosso 1</t>
  </si>
  <si>
    <t>MT01</t>
  </si>
  <si>
    <t>Mato Grosso 2</t>
  </si>
  <si>
    <t>MT02</t>
  </si>
  <si>
    <t>Mato Grosso do Sul</t>
  </si>
  <si>
    <t>MS</t>
  </si>
  <si>
    <t>Goiás</t>
  </si>
  <si>
    <t>GO</t>
  </si>
  <si>
    <t>Distrito Federal</t>
  </si>
  <si>
    <t>DF</t>
  </si>
  <si>
    <t>São Paulo</t>
  </si>
  <si>
    <t>Expansão</t>
  </si>
  <si>
    <t>SP</t>
  </si>
  <si>
    <t>EX</t>
  </si>
  <si>
    <t>Paraná Oeste</t>
  </si>
  <si>
    <t>Paraná Leste</t>
  </si>
  <si>
    <t>Centro Oeste Sul</t>
  </si>
  <si>
    <t>Centro Oeste Norte</t>
  </si>
  <si>
    <t>Ricardo Carrenho</t>
  </si>
  <si>
    <t>Araçatuba (Jardim Virgínia)</t>
  </si>
  <si>
    <t>Araçatuba (Vila Aeronáutica 1 F2)</t>
  </si>
  <si>
    <t>Araçatuba (Vila Aeronáutica 1 F3)</t>
  </si>
  <si>
    <t>Araçatuba (Vila Aeronáutica 2 F1)</t>
  </si>
  <si>
    <t>Araçatuba (Vila Aeronáutica 2 F2)</t>
  </si>
  <si>
    <t>Araçatuba (Vila Aeronáutica 2 F3)</t>
  </si>
  <si>
    <t>Araçatuba (Vila Aeronáutica 2 F4)</t>
  </si>
  <si>
    <t>Arapongas (Campagnole)</t>
  </si>
  <si>
    <t>Arapongas (Haroldo)</t>
  </si>
  <si>
    <t>Araraquara (Montoro 1)</t>
  </si>
  <si>
    <t>Araraquara (Montoro 2)</t>
  </si>
  <si>
    <t>Araraquara (Montoro 3 F1)</t>
  </si>
  <si>
    <t>Araraquara (Montoro 3 F2)</t>
  </si>
  <si>
    <t>Araraquara (Montoro 4 F1)</t>
  </si>
  <si>
    <t>Araraquara (Montoro 4 F2)</t>
  </si>
  <si>
    <t>Araras (José Luis)</t>
  </si>
  <si>
    <t>Araras (Siviero)</t>
  </si>
  <si>
    <t>Assis (Bela Vista 3 F1)</t>
  </si>
  <si>
    <t>Assis (Bela Vista 3 F2)</t>
  </si>
  <si>
    <t>Assis (Romeu Luís F1)</t>
  </si>
  <si>
    <t>Assis (Romeu Luís F2)</t>
  </si>
  <si>
    <t>Assis Chateaubriand (Jd. Canadá F2)</t>
  </si>
  <si>
    <t>Assis Chateaubriand (Vizinho Comviva)</t>
  </si>
  <si>
    <t>Avaré (São Rogério 3)</t>
  </si>
  <si>
    <t>Avaré (São Rogério 4)</t>
  </si>
  <si>
    <t>Bady Bassitt (Terras de Bady)</t>
  </si>
  <si>
    <t>Bálsamo (São Pedro)</t>
  </si>
  <si>
    <t>Barretos (Revolta 7 F1)</t>
  </si>
  <si>
    <t>Barretos (Revolta 7 F2)</t>
  </si>
  <si>
    <t>Barretos (Revolta 7 F3)</t>
  </si>
  <si>
    <t>Bauru (Nasralla F1)</t>
  </si>
  <si>
    <t>Bauru (Nasralla F2)</t>
  </si>
  <si>
    <t>Bauru (Mello)</t>
  </si>
  <si>
    <t>Botucatu (Verônica 2)</t>
  </si>
  <si>
    <t>Campo Mourão (João Batista F1)</t>
  </si>
  <si>
    <t>Campo Mourão (João Batista F2)</t>
  </si>
  <si>
    <t>Catanduva (Fazenda Estrela)</t>
  </si>
  <si>
    <t>Catanduva (Jardim Toscana)</t>
  </si>
  <si>
    <t>Catanduva (Nova Catanduva 4 F1)</t>
  </si>
  <si>
    <t>Catanduva (Nova Catanduva 4 F2)</t>
  </si>
  <si>
    <t>Cianorte (Juvenal 1 F1)</t>
  </si>
  <si>
    <t>Cianorte (Juvenal 1 F2)</t>
  </si>
  <si>
    <t>Cianorte (Juvenal 2 F1)</t>
  </si>
  <si>
    <t>Cianorte (Juvenal 2 F2)</t>
  </si>
  <si>
    <t>Cuiabá (Copagaz ADM)</t>
  </si>
  <si>
    <t>Cuiabá (Copagaz 1)</t>
  </si>
  <si>
    <t>Cuiabá (Copagaz 2)</t>
  </si>
  <si>
    <t>Cuiabá (Copagaz 3)</t>
  </si>
  <si>
    <t>Cuiabá (Imigrantes 1 F1)</t>
  </si>
  <si>
    <t>Cuiabá (Imigrantes 1 F2)</t>
  </si>
  <si>
    <t>Cuiabá (Latorraca 1)</t>
  </si>
  <si>
    <t>Cuiabá (Latorraca 2)</t>
  </si>
  <si>
    <t>Cuiabá (Latorraca 3)</t>
  </si>
  <si>
    <t>Estrela d'Oeste (Frigorífico)</t>
  </si>
  <si>
    <t>Itapetininga (Araújo F1)</t>
  </si>
  <si>
    <t>Itapetininga (Araújo F2)</t>
  </si>
  <si>
    <t>Itapetininga (Lera)</t>
  </si>
  <si>
    <t>Itapetininga (Takaku F1)</t>
  </si>
  <si>
    <t>Itapetininga (Takaku F2)</t>
  </si>
  <si>
    <t>Ituiutaba (Jardim Sul F2)</t>
  </si>
  <si>
    <t>Jaú (Camargo F1)</t>
  </si>
  <si>
    <t>Jaú (Camargo F2)</t>
  </si>
  <si>
    <t>Jaú (Camargo F3)</t>
  </si>
  <si>
    <t>Leme (Flora 1)</t>
  </si>
  <si>
    <t xml:space="preserve">Leme (Nelson Imperial) </t>
  </si>
  <si>
    <t>Lins 4 F2</t>
  </si>
  <si>
    <t>Londrina (Aquilles)</t>
  </si>
  <si>
    <t>Londrina (Jacutinga)</t>
  </si>
  <si>
    <t>Londrina (Terra Nova 3)</t>
  </si>
  <si>
    <t>Londrina (Warta Unificação F1)</t>
  </si>
  <si>
    <t>Londrina (Warta Unificação F2)</t>
  </si>
  <si>
    <t>Lucas do Rio Verde (Prefeitura F1)</t>
  </si>
  <si>
    <t>Lucas do Rio Verde (Prefeitura F2)</t>
  </si>
  <si>
    <t>Marília (Fazenda Araraquara F1)</t>
  </si>
  <si>
    <t>Marília (Fazenda Araraquara F2)</t>
  </si>
  <si>
    <t>Marília (Padre Nóbrega F1)</t>
  </si>
  <si>
    <t>Marília (Padre Nóbrega F2)</t>
  </si>
  <si>
    <t>Marília (Santa Ana 1 F1)</t>
  </si>
  <si>
    <t>Marília (Santa Ana 1 F2)</t>
  </si>
  <si>
    <t>Marília (Santa Ana 2 F1)</t>
  </si>
  <si>
    <t>Marília (Santa Ana 2 F2)</t>
  </si>
  <si>
    <t>Matelândia (Lar F1)</t>
  </si>
  <si>
    <t>Matelândia (Lar F2)</t>
  </si>
  <si>
    <t>Ourinhos (Rapchan F1)</t>
  </si>
  <si>
    <t>Ourinhos (Rapchan F2)</t>
  </si>
  <si>
    <t>Palotina (Saída FA)</t>
  </si>
  <si>
    <t>Paranavaí (Avenida do Café F1)</t>
  </si>
  <si>
    <t>Paranavaí (Avenida do Café F2)</t>
  </si>
  <si>
    <t>Paranavaí (Avenida do Café F3)</t>
  </si>
  <si>
    <t xml:space="preserve">Piratininga (Fazenda Santa Maria F1) </t>
  </si>
  <si>
    <t xml:space="preserve">Piratininga (Fazenda Santa Maria F2) </t>
  </si>
  <si>
    <t>Piratininga (Residencial Veríssimo F1)</t>
  </si>
  <si>
    <t>Piratininga (Residencial Veríssimo F2)</t>
  </si>
  <si>
    <t>Ponta Grossa (Giana 4 F1)</t>
  </si>
  <si>
    <t>Ponta Grossa (Giana 4 F2)</t>
  </si>
  <si>
    <t>Ponta Grossa (Haras)</t>
  </si>
  <si>
    <t>Presidente Prudente (Alto Alegre)</t>
  </si>
  <si>
    <t>Presidente Prudente (San Marino)</t>
  </si>
  <si>
    <t>Presidente Prudente (Santa Joana)</t>
  </si>
  <si>
    <t>Primavera do Leste (Av. Eduardo Zaleski 1 F2)</t>
  </si>
  <si>
    <t>Primavera do Leste (Av. Eduardo Zaleski 2 F3)</t>
  </si>
  <si>
    <t>Primavera do Leste (Av. Eduardo Zaleski 2 F4)</t>
  </si>
  <si>
    <t>Primavera do Leste (Av. Eduardo Zaleski 2 F5)</t>
  </si>
  <si>
    <t>Primavera do Leste (Av. Eduardo Zaleski 2 F6)</t>
  </si>
  <si>
    <t>Ribeirão Preto (Fazenda Panorama F1)</t>
  </si>
  <si>
    <t>Ribeirão Preto (Fazenda Santa Rosa)</t>
  </si>
  <si>
    <t>Ribeirão Preto (Scodro 1)</t>
  </si>
  <si>
    <t>Ribeirão Preto (Scodro 2)</t>
  </si>
  <si>
    <t>Ribeirão Preto (Scodro 3)</t>
  </si>
  <si>
    <t>Ribeirão Preto (Wilda Facci ADM)</t>
  </si>
  <si>
    <t>Ribeirão Preto (Wilda Facci C1)</t>
  </si>
  <si>
    <t>Ribeirão Preto (Wilda Facci C2)</t>
  </si>
  <si>
    <t>Ribeirão Preto (Wilda Facci C3)</t>
  </si>
  <si>
    <t>Rio Preto (Agroseta 1 ADM)</t>
  </si>
  <si>
    <t>Rio Preto (Agroseta 1 C1)</t>
  </si>
  <si>
    <t>Rio Preto (Agroseta 1 C2)</t>
  </si>
  <si>
    <t>Rio Preto (Agroseta 1 C3)</t>
  </si>
  <si>
    <t>Rio Preto (Agroseta 1 C4)</t>
  </si>
  <si>
    <t>Rio Preto (Agroseta 2)</t>
  </si>
  <si>
    <t>Rio Preto (Água Santa 2)</t>
  </si>
  <si>
    <t>Rio Preto (Água Santa 3)</t>
  </si>
  <si>
    <t>Rio Preto (Emais ZN)</t>
  </si>
  <si>
    <t>Rio Preto (Monte Alto e Belo F1)</t>
  </si>
  <si>
    <t>Rio Preto (Monte Alto e Belo F2)</t>
  </si>
  <si>
    <t>Rio Preto (Monte Alto e Belo F3)</t>
  </si>
  <si>
    <t>Rio Preto (Monte Alto e Belo F4)</t>
  </si>
  <si>
    <t>Rio Preto (Olinda Sala 1 F1)</t>
  </si>
  <si>
    <t>Rio Preto (Olinda Sala 1 F2)</t>
  </si>
  <si>
    <t>Rio Preto (Sossego F1)</t>
  </si>
  <si>
    <t>Rio Preto (Sossego F2)</t>
  </si>
  <si>
    <t>Rio Preto (TCL F1)</t>
  </si>
  <si>
    <t>Rio Preto (TCL F2)</t>
  </si>
  <si>
    <t>Rio Preto (Wayfro F1)</t>
  </si>
  <si>
    <t>Rio Preto (Wayfro F2)</t>
  </si>
  <si>
    <t>Rondonópolis (Santo Expedito F1)</t>
  </si>
  <si>
    <t>Rondonópolis (Santo Expedito F2)</t>
  </si>
  <si>
    <t>São Carlos (Samambaia 1 F1)</t>
  </si>
  <si>
    <t>São Carlos (Samambaia 1 F2)</t>
  </si>
  <si>
    <t>São Carlos (Samambaia 2)</t>
  </si>
  <si>
    <t>São Carlos (Samambaia 3)</t>
  </si>
  <si>
    <t>São Carlos (Samambaia 4)</t>
  </si>
  <si>
    <t>Sertãozinho (Biagi 1 F1)</t>
  </si>
  <si>
    <t>Sertãozinho (Biagi 1 F2)</t>
  </si>
  <si>
    <t>Sinop (Residencial Tivoli F1)</t>
  </si>
  <si>
    <t>Sinop (Residencial Tivoli F2)</t>
  </si>
  <si>
    <t>Sinop (Rhodivi F1)</t>
  </si>
  <si>
    <t>Sinop (Rhodivi F2)</t>
  </si>
  <si>
    <t>Sorocaba (Itavuvu F1)</t>
  </si>
  <si>
    <t>Sorocaba (Itavuvu F2)</t>
  </si>
  <si>
    <t>Sorriso (Vigolo F1)</t>
  </si>
  <si>
    <t>Sorriso (Vigolo F2)</t>
  </si>
  <si>
    <t>Tatuí (Lagoa Vermelha 1 F1)</t>
  </si>
  <si>
    <t>Tatuí (Lagoa Vermelha 1 F2)</t>
  </si>
  <si>
    <t>Tatuí (Lagoa Vermelha 2)</t>
  </si>
  <si>
    <t xml:space="preserve">Taubaté (Porto Feliz ADM) </t>
  </si>
  <si>
    <t>Taubaté (Porto Feliz C1)</t>
  </si>
  <si>
    <t>Taubaté (Porto Feliz C2)</t>
  </si>
  <si>
    <t>Taubaté (Porto Feliz C3)</t>
  </si>
  <si>
    <t>Taubaté (Porto Feliz C4)</t>
  </si>
  <si>
    <t>Taubaté (Porto Feliz C5)</t>
  </si>
  <si>
    <t>Toledo (Savaris)</t>
  </si>
  <si>
    <t>Uberlândia (Faz. Campo Alegre 1 ADM)</t>
  </si>
  <si>
    <t>Uberlândia (Faz. Campo Alegre 1 C1)</t>
  </si>
  <si>
    <t>Uberlândia (Faz. Campo Alegre 1 C2)</t>
  </si>
  <si>
    <t>Uberlândia (Faz. Campo Alegre 1 C3)</t>
  </si>
  <si>
    <t>Uberlândia (Faz. Campo Alegre 1 C4)</t>
  </si>
  <si>
    <t>Uberlândia (Faz. Campo Alegre 1 C5)</t>
  </si>
  <si>
    <t>Uberlândia (Faz. Campo Alegre 2 ADM)</t>
  </si>
  <si>
    <t>Uberlândia (Faz. Campo Alegre 2 C6)</t>
  </si>
  <si>
    <t>Uberlândia (Faz. Campo Alegre 2 C7)</t>
  </si>
  <si>
    <t>Uberlândia (Faz. Campo Alegre 2 C8)</t>
  </si>
  <si>
    <t>Uberlândia (Faz. Campo Alegre 2 C9)</t>
  </si>
  <si>
    <t>Uberlândia (Gilson F1)</t>
  </si>
  <si>
    <t>Uberlândia (Gilson F2)</t>
  </si>
  <si>
    <t>Uberlândia (Gilson F3)</t>
  </si>
  <si>
    <t>Uberlândia (Gilson F4)</t>
  </si>
  <si>
    <t>Uberlândia (Gilson F5)</t>
  </si>
  <si>
    <t>Uberlândia (Gilson F6)</t>
  </si>
  <si>
    <t>Uberlândia (Monte Sinai F1)</t>
  </si>
  <si>
    <t>Uberlândia (Monte Sinai F2)</t>
  </si>
  <si>
    <t>Uberlândia (São Bento F1)</t>
  </si>
  <si>
    <t>Uberlândia (São Bento F2)</t>
  </si>
  <si>
    <t>Umuarama (Pinhalzinho 1 F1)</t>
  </si>
  <si>
    <t>Umuarama (Pinhalzinho 1 F2)</t>
  </si>
  <si>
    <t>Umuarama (Pinhalzinho 1 F3)</t>
  </si>
  <si>
    <t>Umuarama (Pinhalzinho 2 F1)</t>
  </si>
  <si>
    <t>Umuarama (Pinhalzinho 2 F2)</t>
  </si>
  <si>
    <t>Umuarama (Pinhalzinho 2 F3)</t>
  </si>
  <si>
    <t>Umuarama (Pinhalzinho 2 F4)</t>
  </si>
  <si>
    <t>Umuarama (Pinhalzinho 3)</t>
  </si>
  <si>
    <t>Votuporanga (Fachini F1)</t>
  </si>
  <si>
    <t>Votuporanga (Fachini F2)</t>
  </si>
  <si>
    <t>Votuporanga (Fachini F3)</t>
  </si>
  <si>
    <t>Votuporanga (Gibim)</t>
  </si>
  <si>
    <t>Araçatuba (Vila Aeronáutica 1 F1)</t>
  </si>
  <si>
    <t>Arapongas (Rissato 1)</t>
  </si>
  <si>
    <t>Arapongas (Rissato 2)</t>
  </si>
  <si>
    <t>Araras (São Miguel)</t>
  </si>
  <si>
    <t>Assis (Bela Vista 1)</t>
  </si>
  <si>
    <t>Assis (Bela Vista 2)</t>
  </si>
  <si>
    <t>Assis Chateaubriand (Jd. Canadá F1)</t>
  </si>
  <si>
    <t>Assis Chateaubriand (Unificação 1)</t>
  </si>
  <si>
    <t>Assis Chateaubriand (Unificação 2)</t>
  </si>
  <si>
    <t>Barretos (Anastácio 3)</t>
  </si>
  <si>
    <t>Barretos (Anastácio 4)</t>
  </si>
  <si>
    <t>Barretos 3</t>
  </si>
  <si>
    <t>Barretos 4</t>
  </si>
  <si>
    <t>Barretos 4 (Reparcelamento)</t>
  </si>
  <si>
    <t>Bauru (Azevedo F1)</t>
  </si>
  <si>
    <t>Bauru (Azevedo F2)</t>
  </si>
  <si>
    <t>Bauru (Carlos Braga 1)</t>
  </si>
  <si>
    <t>Bauru (Carlos Braga 2)</t>
  </si>
  <si>
    <t>Bauru (Carlos Braga 3) - COND.</t>
  </si>
  <si>
    <t>Botucatu (Duratex)</t>
  </si>
  <si>
    <t>Botucatu (Verônica 1)</t>
  </si>
  <si>
    <t>Cafelândia (Progresso)</t>
  </si>
  <si>
    <t>Catanduva (Nova Catanduva III F1)</t>
  </si>
  <si>
    <t>Catanduva (Nova Catanduva III F2)</t>
  </si>
  <si>
    <t>Catanduva (Nova Catanduva III F3)</t>
  </si>
  <si>
    <t>Catanduva (Nova Catanduva III F4)</t>
  </si>
  <si>
    <t>Cedral (Residencial Califórnia)</t>
  </si>
  <si>
    <t>Cianorte (Laguilo)</t>
  </si>
  <si>
    <t>Itapetininga (Copacabana)</t>
  </si>
  <si>
    <t>Itapetininga (Cristóvão Colombo F1)</t>
  </si>
  <si>
    <t>Itapetininga (Cristóvão Colombo F2)</t>
  </si>
  <si>
    <t>Itapetininga (Reserva da Mata)</t>
  </si>
  <si>
    <t>Ituiutaba (Jardim Sul F1)</t>
  </si>
  <si>
    <t>Lins (Junqueira 3)</t>
  </si>
  <si>
    <t>Lins (Samuel Arzani)</t>
  </si>
  <si>
    <t>Lins 4 F1</t>
  </si>
  <si>
    <t>Londrina (Terra Nova)</t>
  </si>
  <si>
    <t>Marília (Altos do Palmital)</t>
  </si>
  <si>
    <t>Marília (Gigantão)</t>
  </si>
  <si>
    <t>Marília (Gigantão Complemento)</t>
  </si>
  <si>
    <t>Nova Aurora (Piquiri)</t>
  </si>
  <si>
    <t>Ourinhos (Constante 1)</t>
  </si>
  <si>
    <t>Ourinhos (Constante 2)</t>
  </si>
  <si>
    <t>Pindamonhangaba (Terra Nova)</t>
  </si>
  <si>
    <t>Piracicaba (Comviva ADM)</t>
  </si>
  <si>
    <t>Piracicaba (Comviva F1)</t>
  </si>
  <si>
    <t>Piracicaba (Comviva F2)</t>
  </si>
  <si>
    <t>Piracicaba (Nova Suíça ADM)</t>
  </si>
  <si>
    <t>Piracicaba (Nova Suíça 1)</t>
  </si>
  <si>
    <t>Piracicaba (Nova Suíça 2)</t>
  </si>
  <si>
    <t>Piracicaba (Nova Suíça 3)</t>
  </si>
  <si>
    <t>Piracicaba (Nova Suíça 4)</t>
  </si>
  <si>
    <t>Piracicaba (Nova Suíça 5)</t>
  </si>
  <si>
    <t>Piracicaba (Nova Suíça ADM2)</t>
  </si>
  <si>
    <t>Piracicaba (Nova Suíça 6)</t>
  </si>
  <si>
    <t>Piracicaba (Nova Suíça 7)</t>
  </si>
  <si>
    <t>Piracicaba (Nova Suíça 8)</t>
  </si>
  <si>
    <t>Ponta Grossa (Jardim Royal 1)</t>
  </si>
  <si>
    <t>Ponta Grossa (Jardim Royal 2)</t>
  </si>
  <si>
    <t>Ponta Grossa (Jardim Royal 3 F1)</t>
  </si>
  <si>
    <t>Ponta Grossa (Jardim Royal 3 F2)</t>
  </si>
  <si>
    <t>Ponta Grossa (Jardim Royal 3 F3)</t>
  </si>
  <si>
    <t>Presidente Prudente 1</t>
  </si>
  <si>
    <t>Presidente Prudente 3</t>
  </si>
  <si>
    <t>Primavera do Leste (Av. Eduardo Zaleski 1 F1)</t>
  </si>
  <si>
    <t>Rio Preto (Água Santa 1)</t>
  </si>
  <si>
    <t>Rio Preto (Edson Baffi)</t>
  </si>
  <si>
    <t>Rio Preto (Egydio Zani F1)</t>
  </si>
  <si>
    <t>Rio Preto (Egydio Zani F3)</t>
  </si>
  <si>
    <t>Rio Preto (José Bernardo Coelho F1)</t>
  </si>
  <si>
    <t>Rio Preto (José Bernardo Coelho F2)</t>
  </si>
  <si>
    <t>Rio Preto (Papa)</t>
  </si>
  <si>
    <t>Rio Preto (Zacarin)</t>
  </si>
  <si>
    <t>Salto de Pirapora (Bandeiras 1)</t>
  </si>
  <si>
    <t>Salto de Pirapora (Bandeiras 2)</t>
  </si>
  <si>
    <t>Vida Nova São Carlos</t>
  </si>
  <si>
    <t>Tatuí (Caguassu F1)</t>
  </si>
  <si>
    <t>Tatuí (Caguassu F2)</t>
  </si>
  <si>
    <t>Tatuí (NS Aparecida)</t>
  </si>
  <si>
    <t>Tatuí 3</t>
  </si>
  <si>
    <t>Trindade (Embaúba)</t>
  </si>
  <si>
    <t>Votuporanga (Célio)</t>
  </si>
  <si>
    <t>des. imobiliario</t>
  </si>
  <si>
    <t>Lucas Santos</t>
  </si>
  <si>
    <t>Maila Cardoso</t>
  </si>
  <si>
    <t>Rodrigo Souza</t>
  </si>
  <si>
    <t>Vitor Camacho</t>
  </si>
  <si>
    <t>Lins</t>
  </si>
  <si>
    <t>Barretos</t>
  </si>
  <si>
    <t>Presidente Prudente</t>
  </si>
  <si>
    <t>Tatuí</t>
  </si>
  <si>
    <t>São Carlos</t>
  </si>
  <si>
    <t>São Paulo Norte</t>
  </si>
  <si>
    <t>São Paulo Vale do Paraíba</t>
  </si>
  <si>
    <t>São Paulo Centro</t>
  </si>
  <si>
    <t>São Paulo Sul</t>
  </si>
  <si>
    <t>São Paulo Noroeste</t>
  </si>
  <si>
    <t>SPN</t>
  </si>
  <si>
    <t>SPV</t>
  </si>
  <si>
    <t>SPC</t>
  </si>
  <si>
    <t>SPS</t>
  </si>
  <si>
    <t>SPNO</t>
  </si>
  <si>
    <t>PRO</t>
  </si>
  <si>
    <t>PRL</t>
  </si>
  <si>
    <t>COS</t>
  </si>
  <si>
    <t>CON</t>
  </si>
  <si>
    <t>LOTEAMENTO AGUA SANTA</t>
  </si>
  <si>
    <t>VIDA NOVA RIO PRETO FASE 3 MODULO 1</t>
  </si>
  <si>
    <t>VIDA NOVA RIO PRETO FASE 3 MODULO 2</t>
  </si>
  <si>
    <t>VIDA NOVA PONTA GROSSA FASE 1 M 1</t>
  </si>
  <si>
    <t>BEM VIVER ARAPONGAS MOD I</t>
  </si>
  <si>
    <t>RESIDENCIAL NOVA CATANDUVA III</t>
  </si>
  <si>
    <t>BEM VIVER ARAPONGAS MOD II</t>
  </si>
  <si>
    <t>VIDA NOVA SALTO DE PIRAPORA MOD I</t>
  </si>
  <si>
    <t>VIDA NOVA TATUI CAGUASSU MODULO I</t>
  </si>
  <si>
    <t>BEM VIVER ARAPONGAS MODULO 3</t>
  </si>
  <si>
    <t>BEM VIVER ARAPONGAS MODULO 4</t>
  </si>
  <si>
    <t>VIDA NOVA TATUI CAGUASSU MD II</t>
  </si>
  <si>
    <t>VIDA NOVA SALTO DE PIRAPORA MD II</t>
  </si>
  <si>
    <t>LOTEAMENTO TATUI CAGUASSU MOD III</t>
  </si>
  <si>
    <t>VIDA NOVA SALTO DE PIRAPORA MD III</t>
  </si>
  <si>
    <t>RESIDENCIAL NOVA CATANDUVA III MD 2</t>
  </si>
  <si>
    <t>RESIDENCIAL TERRA N PINDAMONHANGABA</t>
  </si>
  <si>
    <t>RESIDENCIAL TERRA NOVA P M II</t>
  </si>
  <si>
    <t>VIDA NOVA PRES PRUDENTE III</t>
  </si>
  <si>
    <t>VIDA NOVA PONTA GROSSA FASE 1 M 2</t>
  </si>
  <si>
    <t>LOTEAMENTO AGUA SANTA MOD II</t>
  </si>
  <si>
    <t>VIDA NOVA OURINHOS CONSTANTE II M I</t>
  </si>
  <si>
    <t>LOTEAMENTO COMVIVA FASE 2</t>
  </si>
  <si>
    <t>V N PRESIDENTE PRUDENTE III M II</t>
  </si>
  <si>
    <t>LOTEAMENTO BOTUCATU VERONICA MOD I</t>
  </si>
  <si>
    <t>VIDA NOVA PIRACICABA MOD V COND</t>
  </si>
  <si>
    <t>VIDA NOVA TATUI CAGUASSU MD IV</t>
  </si>
  <si>
    <t>VIDA NOVA TATUI CAGUASSU MD V</t>
  </si>
  <si>
    <t>VIDA NOVA PRESIDENTE P I M III</t>
  </si>
  <si>
    <t>LOTEAMENTO BOTUCATU VERONICA MOD 2</t>
  </si>
  <si>
    <t>LOTEAMENTO COMVIVA FASE 2 MODULO 2</t>
  </si>
  <si>
    <t>VIDA NOVA PONTA GROSSA FASE 2 MOD I</t>
  </si>
  <si>
    <t>VIDA NOVA OURINHOS CONSTANTE II M 2</t>
  </si>
  <si>
    <t>LOT RES E COMERCIAL JARDIM A III</t>
  </si>
  <si>
    <t>LOTEAMENTO JARDIM PROGRESSO II</t>
  </si>
  <si>
    <t>VIDA NOVA RIO PRETO FASE 3 MOD 3</t>
  </si>
  <si>
    <t>VIDA NOVA RIO PRETO FASE 4</t>
  </si>
  <si>
    <t>BAIRRO PIQUIRI MOD I</t>
  </si>
  <si>
    <t>PACAEMBU ANASTACIO 2</t>
  </si>
  <si>
    <t>LOTEAMENTO BELA VISTA I MOD II</t>
  </si>
  <si>
    <t>LOTEAMENTO BELA VISTA I MOD I</t>
  </si>
  <si>
    <t>ITAPETININGA CRISTOVAO COLOMBO MOD 2</t>
  </si>
  <si>
    <t>ITAPETININGA CRISTOVAO COLOMBO MOD I</t>
  </si>
  <si>
    <t>BEM VIVER CIANORTE MOD I</t>
  </si>
  <si>
    <t>BEM VIVER CIANORTE MOD II</t>
  </si>
  <si>
    <t>VIDA NOVA PONTA GROSSA FASE 2 MOD 2</t>
  </si>
  <si>
    <t>ITAPETININGA CRISTOVAO COLOMBO MOD 3</t>
  </si>
  <si>
    <t>LOTEAMENTO COMVIVA FASE 3</t>
  </si>
  <si>
    <t>LOTEAMENTO RESIDENCIAL JOSE B C M 2</t>
  </si>
  <si>
    <t>LOTEAMENTO RESIDENCIAL JOSE B COELHO</t>
  </si>
  <si>
    <t>LOTEAMENTO SALTO DO P P B 2 M I</t>
  </si>
  <si>
    <t>LOTEAMENTO SALTO DE P P B 2 M II</t>
  </si>
  <si>
    <t>VIDA NOVA PIRACICABA MOD VI COND</t>
  </si>
  <si>
    <t>ALTOS DO PALMITAL</t>
  </si>
  <si>
    <t>RESIDENCIAL NOVA CATANDUVA III M III</t>
  </si>
  <si>
    <t>VIDA NOVA ARACATUBA MODULO I</t>
  </si>
  <si>
    <t>LOTEAMENTO BEM VIVER A F I M I</t>
  </si>
  <si>
    <t>VIDA NOVA PIRACICABA MOD VII COND</t>
  </si>
  <si>
    <t>VIDA NOVA ARACATUBA MODULO II</t>
  </si>
  <si>
    <t>VIDA NOVA PONTA GROSSA FASE 2 MOD 3</t>
  </si>
  <si>
    <t>JOSE BERNARDES COELHO MOD 3</t>
  </si>
  <si>
    <t>ITAPETININGA CRISTOVAO COLOMBO MOD 4</t>
  </si>
  <si>
    <t>VIDA NOVA BOULEVARD MOD I</t>
  </si>
  <si>
    <t>VIDA NOVA ASSIS CHATEAUBRIAND FASE 1</t>
  </si>
  <si>
    <t>VIDA NOVA BOULEVARD MOD 2</t>
  </si>
  <si>
    <t>VIDA NOVA ASSIS CHATEAUBRIAND FASE 2</t>
  </si>
  <si>
    <t>VIDA NOVA CUIABA CONDOMINIO II</t>
  </si>
  <si>
    <t>RESIDENCIAL JARDIM SUL MOD I</t>
  </si>
  <si>
    <t>VIDA NOVA PONTA GROSSA FASE 2 MOD 4</t>
  </si>
  <si>
    <t>PACAEMBU BELA VISTA II MOD 1</t>
  </si>
  <si>
    <t>VIDA NOVA PARAISO MOD 1</t>
  </si>
  <si>
    <t>VIDA NOVA HARMONIA MOD I</t>
  </si>
  <si>
    <t>RESIDENCIAL JARDIM SUL MOD 2</t>
  </si>
  <si>
    <t>PACAEMBU BELA VISTA II MODULO 2</t>
  </si>
  <si>
    <t>ITAPETININGA CRISTOVAO COLOMBO MOD 5</t>
  </si>
  <si>
    <t>RESIDENCIAL NOVA CATANDUVA III MOD 4</t>
  </si>
  <si>
    <t>PACAEMBU BELA VISTA II MODULO 3</t>
  </si>
  <si>
    <t>PARQUE DO CERRADO CONDOMINIO GUARA</t>
  </si>
  <si>
    <t>VIDA NOVA HARMONIA MODULO 2</t>
  </si>
  <si>
    <t>RESIDENCIAL NOVA CATANDUVA III MOD 5</t>
  </si>
  <si>
    <t>VIDA NOVA PARAISO MOD 2</t>
  </si>
  <si>
    <t>BEM VIVER ARAPONGAS FASE II MOD II</t>
  </si>
  <si>
    <t>CONDOMINIO VIDA NOVA PIRACICABA VIII</t>
  </si>
  <si>
    <t>LOTEAMENTO JARDIM DOS IPES I M 1</t>
  </si>
  <si>
    <t>CONDOMINIO RESIDENCIAL M D V M 1</t>
  </si>
  <si>
    <t>PARQUE ESPLANADA MOD I</t>
  </si>
  <si>
    <t>CONDOMINIO RESIDENCIAL M D A M 1</t>
  </si>
  <si>
    <t>BEM VIVER UVARANAS MOD 5</t>
  </si>
  <si>
    <t>CONDOMINIO RESIDENCIAL M D V M 2</t>
  </si>
  <si>
    <t>LOTEAMENTO JARDIM DOS IPES 1 MOD 2</t>
  </si>
  <si>
    <t>ITAPETININGA CRISTOVAO COLOMBO MOD 6</t>
  </si>
  <si>
    <t>VIDA NOVA HARMONIA MODULO 3</t>
  </si>
  <si>
    <t>PARQUE ESPLANADA MOD II</t>
  </si>
  <si>
    <t>CONDOMINIO RESIDENCIAL M D A M 2</t>
  </si>
  <si>
    <t>RESIDENCIAL BELA MORADA</t>
  </si>
  <si>
    <t>LOTEAMENTO JARDIM DOS IPES 1 MOD 3</t>
  </si>
  <si>
    <t>JOSE BERNARDES COELHO MOD 4</t>
  </si>
  <si>
    <t>VIDA NOVA HARMONIA MODULO 4</t>
  </si>
  <si>
    <t>VIDA NOVA PARAISO MODULO 3</t>
  </si>
  <si>
    <t>PARQUE ESPLANADA MOD III</t>
  </si>
  <si>
    <t>VIDA NOVA HARMONIA FASE 2 MOD 5</t>
  </si>
  <si>
    <t>LOTEAMENTO BEM VIVER A F I M III</t>
  </si>
  <si>
    <t>VIDA NOVA ARACATUBA 2 MOD 3</t>
  </si>
  <si>
    <t>PARQUE DO CERRADO CONDOMINIO JATOBA</t>
  </si>
  <si>
    <t>VIDA NOVA HARMONIA 2 MODULO 6</t>
  </si>
  <si>
    <t>TATUI NOSSA SENHORA APARECIDA</t>
  </si>
  <si>
    <t>JOSE BERNARDES COELHO MOD 5</t>
  </si>
  <si>
    <t>PACAEMBU ITAPETININGA COPACABANA</t>
  </si>
  <si>
    <t>PACAEMBU ITUIUTABA MODULO 1</t>
  </si>
  <si>
    <t>VIDA NOVA HARMONIA 2 MODULO 7</t>
  </si>
  <si>
    <t>CONDOMINIO RESIDENCIAL M D F M 1</t>
  </si>
  <si>
    <t>LOTEAMENTO JARDIM DOS IPES 1 MOD 4</t>
  </si>
  <si>
    <t>VIDA NOVA LINENSE FASE 1 MODULO 1</t>
  </si>
  <si>
    <t>VIDA NOVA CUIABA MOD 1</t>
  </si>
  <si>
    <t>RESIDENCIAL VALE VERDE MOD 1</t>
  </si>
  <si>
    <t>VIDA NOVA CONQUISTA 2</t>
  </si>
  <si>
    <t>VIDA NOVA CONQUISTA 3</t>
  </si>
  <si>
    <t>CONDOMINIO RESIDENCIAL M D F M 2</t>
  </si>
  <si>
    <t>BEM VIVER UVARANAS 2</t>
  </si>
  <si>
    <t>CONDOMINIO RESIDENCIAL M D S M 1</t>
  </si>
  <si>
    <t>VIDA NOVA ARACATUBA 2 MOD 04</t>
  </si>
  <si>
    <t>PACAEMBU ITAPETININGA COPACABANA M 2</t>
  </si>
  <si>
    <t>VIDA NOVA PARAISO 2</t>
  </si>
  <si>
    <t>RESIDENCIAL VALE VERDE MOD 2</t>
  </si>
  <si>
    <t>VIDA NOVA CUIABA MODULO 2</t>
  </si>
  <si>
    <t>BEM VIVER PALOTINA FASE 1 MOD 1</t>
  </si>
  <si>
    <t>RESIDENCIAL OLINDA SALA FASE 1 MOD 1</t>
  </si>
  <si>
    <t>JARDIM CANADA</t>
  </si>
  <si>
    <t>RESIDENCIAL PARQUE DA CIDADANIA M 1</t>
  </si>
  <si>
    <t>PACAEMBU ITUIUTABA MOD 2</t>
  </si>
  <si>
    <t>LOTEAMENTO JARDIM DOS IPES 1 MOD 5</t>
  </si>
  <si>
    <t>RESIDENCIAL ECO VILAGE FASE 01 M 01</t>
  </si>
  <si>
    <t>BEM VIVER PALOTINA FASE 1 MODULO 2</t>
  </si>
  <si>
    <t>TATUI LAGOA VERMELHA MOD 1</t>
  </si>
  <si>
    <t>VIDA NOVA ARACATUBA 2 MODULO 5</t>
  </si>
  <si>
    <t>PACAEMBU ITUIUTABA MOD 3</t>
  </si>
  <si>
    <t>RESIDENCIAL VALE VERDE 2 MODULO 1</t>
  </si>
  <si>
    <t>LOTEAMENTO JARDIM DOS IPES 1 MOD 6</t>
  </si>
  <si>
    <t>BEM VIVER TORONTO MODULO 1</t>
  </si>
  <si>
    <t>RHODIVI MORADA DO BOSQUE MOD 1</t>
  </si>
  <si>
    <t>RESIDENCIAL OLINDA SALA FASE 1 M 2</t>
  </si>
  <si>
    <t>CONDOMINIO RESIDENCIAL M D S M 2</t>
  </si>
  <si>
    <t>BEM VIVER PALOTINA MODULO 3</t>
  </si>
  <si>
    <t>RESIDENCIAL PARQUE DA CIDADANIA M 2</t>
  </si>
  <si>
    <t>LOTEAMENTO JARDIM DOS IPES 1 MOD 7</t>
  </si>
  <si>
    <t>JARDIM ESPERANCA I MOD 1</t>
  </si>
  <si>
    <t>RHODIVI MORADA DO BOSQUE MODULO 2</t>
  </si>
  <si>
    <t>RESIDENCIAL JOSE STUCKI</t>
  </si>
  <si>
    <t>RESIDENCIAL OLINDA SALA FASE 1 M 3</t>
  </si>
  <si>
    <t>RESIDENCIAL ECO VILAGE FASE 01 MOD 2</t>
  </si>
  <si>
    <t>VIDA NOVA LINENSE FASE 1 MOD 2</t>
  </si>
  <si>
    <t>BEM VIVER TORONTO MOD 2</t>
  </si>
  <si>
    <t>VIDA NOVA ARACATUBA 3 MODULO 6</t>
  </si>
  <si>
    <t>JARDIM ESPERANCA I MODULO 2</t>
  </si>
  <si>
    <t>LEME FLORA  MODULO I</t>
  </si>
  <si>
    <t>VIDA NOVA BOTUCATU 3 MODULO 1</t>
  </si>
  <si>
    <t>VIDA NOVA CUIABA II</t>
  </si>
  <si>
    <t>LOTEAMENTO PARQUE OLINDA S F 1 M 4</t>
  </si>
  <si>
    <t>RESIDENCIAL BELA VISTA III MOD 1</t>
  </si>
  <si>
    <t>VIDA NOVA LINENSE FASE 2 MOD 1</t>
  </si>
  <si>
    <t>RHODIVI MORADA DO BOSQUE MOD 3</t>
  </si>
  <si>
    <t>JARDIM ESPERANCA I MODULO 3</t>
  </si>
  <si>
    <t>RESIDENCIAL JARDIM TOSCANA</t>
  </si>
  <si>
    <t>TATUI LAGOA VERMELHA MOD 2</t>
  </si>
  <si>
    <t>PARQUE FLORA MODULO 1</t>
  </si>
  <si>
    <t>RESIDENCIAL OLINDA SALA FASE 2 M 1</t>
  </si>
  <si>
    <t>LEME FLORA MODULO II</t>
  </si>
  <si>
    <t>RESIDENCIAL SAO ROGERIO III MODULO 1</t>
  </si>
  <si>
    <t>RESIDENCIAL BELA VISTA III MOD 2</t>
  </si>
  <si>
    <t>BEM VIVER PALOTINA MODULO 4</t>
  </si>
  <si>
    <t>PARQUE FLORA MODULO 2</t>
  </si>
  <si>
    <t>VIDA NOVA BOTUCATU 3 MODULO 2</t>
  </si>
  <si>
    <t>VIDA NOVA LINENSE FASE 2 MOD 2</t>
  </si>
  <si>
    <t>JARDIM ESPERANCA I MODULO 4</t>
  </si>
  <si>
    <t>RESIDENCIAL SAO ROGERIO III  M 2</t>
  </si>
  <si>
    <t>RHODIVI MORADA DO BOSQUE  MODULO 4</t>
  </si>
  <si>
    <t>VIDA NOVA CUIABA III</t>
  </si>
  <si>
    <t>RESIDENCIAL VALE VERDE 2 MODULO 2</t>
  </si>
  <si>
    <t>BEM VIVER MONTREAL 2</t>
  </si>
  <si>
    <t>JARDIM ESPERANCA I MODULO 5</t>
  </si>
  <si>
    <t>RESIDENCIAL OLINDA SALA FASE 2 M 2</t>
  </si>
  <si>
    <t>PACAEMBU ITUIUTABA MOD 4</t>
  </si>
  <si>
    <t>RESIDENCIAL BELA VISTA III MODULO 3</t>
  </si>
  <si>
    <t>PARQUE FLORA MODULO 3</t>
  </si>
  <si>
    <t>RESIDENCIAL JARDIM DOS IPES IV MOD 1</t>
  </si>
  <si>
    <t>RESIDENCIAL JARDIM DOS IPES IV M 2</t>
  </si>
  <si>
    <t>empreendimento_cef</t>
  </si>
  <si>
    <t>M3</t>
  </si>
  <si>
    <t>M2</t>
  </si>
  <si>
    <t>M4</t>
  </si>
  <si>
    <t>M1</t>
  </si>
  <si>
    <t>M5</t>
  </si>
  <si>
    <t>M7</t>
  </si>
  <si>
    <t>M6</t>
  </si>
  <si>
    <t>M8</t>
  </si>
  <si>
    <t>Residencial Bela Vista I</t>
  </si>
  <si>
    <t>Olímpia (Boa Vista) - Projeto/Obra</t>
  </si>
  <si>
    <t>Nova Marilândia (São Bento) - Projeto/Obra</t>
  </si>
  <si>
    <t>Diamantino (JBS) - Projeto/Obra</t>
  </si>
  <si>
    <t>Vida Nova Ribeirão - Setor B1 - Pacaembu S.A.</t>
  </si>
  <si>
    <t>Lins II - Pacaembu S.A.</t>
  </si>
  <si>
    <t>Vida Nova Maracá III (Marília) - Pacaembu S.A.</t>
  </si>
  <si>
    <t>Vida Nova Olímpia (Toledo) - Pacaembu S.A.</t>
  </si>
  <si>
    <t>Franca (Jardins de Franca 6) - Pacaembu S.A.</t>
  </si>
  <si>
    <t>Franca (Jardins de Franca 1) - Pacaembu S.A.</t>
  </si>
  <si>
    <t>Franca (Jardins de Franca 5) - Pacaembu S.A.</t>
  </si>
  <si>
    <t>Barretos V - Pacaembu S.A.</t>
  </si>
  <si>
    <t>Franca (Jardins de Franca 7) - Pacaembu S.A.</t>
  </si>
  <si>
    <t>Franca (Jardins de Franca 4) - Pacaembu S.A.</t>
  </si>
  <si>
    <t>Rio Preto (Fraternidade 2) - Pacaembu S.A.</t>
  </si>
  <si>
    <t>Vida Nova Votuporanga 4 - Pacaembu S.A.</t>
  </si>
  <si>
    <t>Franca (Jardins de Franca 3) - Pacaembu S.A.</t>
  </si>
  <si>
    <t>Franca (Jardins de Franca 2) - Pacaembu S.A.</t>
  </si>
  <si>
    <t>Presidente Prudente 2 - Pacaembu S.A.</t>
  </si>
  <si>
    <t>Tatuí 2 - Pacaembu S.A.</t>
  </si>
  <si>
    <t>Vida Nova Assis 2 - Pacaembu S.A.</t>
  </si>
  <si>
    <t>Vida Nova Votuporanga III - Pacaembu S.A.</t>
  </si>
  <si>
    <t>Vida Nova Itapetininga - Pacaembu S.A.</t>
  </si>
  <si>
    <t>Vida Nova Ribeirão - Setor B2 - Pacaembu S.A.</t>
  </si>
  <si>
    <t>Assis Chateaubriand (Araçá 2) - Projeto/Obra</t>
  </si>
  <si>
    <t>Londrina (Angelin) - Projeto/Obra</t>
  </si>
  <si>
    <t>SP3</t>
  </si>
  <si>
    <t>MT1</t>
  </si>
  <si>
    <t>SP1</t>
  </si>
  <si>
    <t>SP2</t>
  </si>
  <si>
    <t>SP5</t>
  </si>
  <si>
    <t>MT2</t>
  </si>
  <si>
    <t>Assis</t>
  </si>
  <si>
    <t>Marília</t>
  </si>
  <si>
    <t>Brasília (Reserva do Parque ADM Geral) - LTDA Custos de Projeto/Obra</t>
  </si>
  <si>
    <t>Brasília (Reserva do Parque C1)</t>
  </si>
  <si>
    <t>Brasília (Reserva do Parque C2)</t>
  </si>
  <si>
    <t>Arapongas (Jumag) - Projeto/Obra</t>
  </si>
  <si>
    <t>Assis Chateaubriand (Araçá 1) - Projeto/Obra</t>
  </si>
  <si>
    <t>Avaré (Estância Santa Helena F2) - Projeto/Obra</t>
  </si>
  <si>
    <t>Avaré (Estância Santa Helena F1) - Projeto/Obra</t>
  </si>
  <si>
    <t>Campo Grande (Jd. Água Branca F1) - Projeto/Obra</t>
  </si>
  <si>
    <t>Campo Grande (Jd. Água Branca F2) - Projeto/Obra</t>
  </si>
  <si>
    <t>Londrina (Kajiwara)</t>
  </si>
  <si>
    <t>Londrina (Niwa)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</si>
</sst>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theme="0"/>
      </left>
      <right style="thick">
        <color theme="0"/>
      </right>
      <top style="hair">
        <color theme="0"/>
      </top>
      <bottom style="hair">
        <color theme="0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0" fillId="0" borderId="0" xfId="0" applyAlignment="1">
      <alignment horizontal="left"/>
    </xf>
  </cellXfs>
  <cellStyles count="2">
    <cellStyle name="Normal" xfId="0" builtinId="0"/>
    <cellStyle name="Normal 42" xfId="1" xr:uid="{3CD36013-AEF3-404C-9295-F5883A400604}"/>
  </cellStyles>
  <dxfs count="3">
    <dxf>
      <fill>
        <patternFill patternType="lightTrellis">
          <fgColor theme="1" tint="0.34998626667073579"/>
          <bgColor theme="0" tint="-4.9958800012207406E-2"/>
        </patternFill>
      </fill>
    </dxf>
    <dxf>
      <fill>
        <patternFill patternType="lightTrellis">
          <fgColor theme="1" tint="0.34998626667073579"/>
          <bgColor theme="0" tint="-4.9958800012207406E-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8C329-15BB-4011-80AA-222E2BA47480}">
  <sheetPr>
    <tabColor rgb="FF92D050"/>
  </sheetPr>
  <dimension ref="A1:B6"/>
  <sheetViews>
    <sheetView workbookViewId="0">
      <selection activeCell="G11" sqref="G11"/>
    </sheetView>
  </sheetViews>
  <sheetFormatPr defaultRowHeight="14.4" x14ac:dyDescent="0.3"/>
  <cols>
    <col min="1" max="1" width="15" bestFit="1" customWidth="1"/>
  </cols>
  <sheetData>
    <row r="1" spans="1:2" x14ac:dyDescent="0.3">
      <c r="A1" t="s">
        <v>0</v>
      </c>
      <c r="B1" t="s">
        <v>2</v>
      </c>
    </row>
    <row r="2" spans="1:2" x14ac:dyDescent="0.3">
      <c r="A2" t="s">
        <v>322</v>
      </c>
    </row>
    <row r="3" spans="1:2" x14ac:dyDescent="0.3">
      <c r="A3" t="s">
        <v>323</v>
      </c>
    </row>
    <row r="4" spans="1:2" x14ac:dyDescent="0.3">
      <c r="A4" t="s">
        <v>44</v>
      </c>
    </row>
    <row r="5" spans="1:2" x14ac:dyDescent="0.3">
      <c r="A5" s="2" t="s">
        <v>324</v>
      </c>
    </row>
    <row r="6" spans="1:2" x14ac:dyDescent="0.3">
      <c r="A6" s="2" t="s">
        <v>325</v>
      </c>
    </row>
  </sheetData>
  <sortState xmlns:xlrd2="http://schemas.microsoft.com/office/spreadsheetml/2017/richdata2" ref="A2:A6">
    <sortCondition ref="A2:A6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12CDE-E82A-4729-8642-978598E8FD3F}">
  <sheetPr>
    <tabColor rgb="FF92D050"/>
  </sheetPr>
  <dimension ref="A1:B10"/>
  <sheetViews>
    <sheetView workbookViewId="0">
      <selection activeCell="D16" sqref="D16"/>
    </sheetView>
  </sheetViews>
  <sheetFormatPr defaultRowHeight="14.4" x14ac:dyDescent="0.3"/>
  <cols>
    <col min="1" max="1" width="21.6640625" bestFit="1" customWidth="1"/>
  </cols>
  <sheetData>
    <row r="1" spans="1:2" x14ac:dyDescent="0.3">
      <c r="A1" s="1" t="s">
        <v>0</v>
      </c>
      <c r="B1" s="1" t="s">
        <v>2</v>
      </c>
    </row>
    <row r="2" spans="1:2" x14ac:dyDescent="0.3">
      <c r="A2" t="s">
        <v>331</v>
      </c>
      <c r="B2" s="1" t="s">
        <v>336</v>
      </c>
    </row>
    <row r="3" spans="1:2" x14ac:dyDescent="0.3">
      <c r="A3" t="s">
        <v>332</v>
      </c>
      <c r="B3" s="1" t="s">
        <v>337</v>
      </c>
    </row>
    <row r="4" spans="1:2" x14ac:dyDescent="0.3">
      <c r="A4" t="s">
        <v>333</v>
      </c>
      <c r="B4" s="1" t="s">
        <v>338</v>
      </c>
    </row>
    <row r="5" spans="1:2" x14ac:dyDescent="0.3">
      <c r="A5" t="s">
        <v>334</v>
      </c>
      <c r="B5" s="1" t="s">
        <v>339</v>
      </c>
    </row>
    <row r="6" spans="1:2" x14ac:dyDescent="0.3">
      <c r="A6" t="s">
        <v>335</v>
      </c>
      <c r="B6" s="1" t="s">
        <v>340</v>
      </c>
    </row>
    <row r="7" spans="1:2" x14ac:dyDescent="0.3">
      <c r="A7" t="s">
        <v>40</v>
      </c>
      <c r="B7" s="1" t="s">
        <v>341</v>
      </c>
    </row>
    <row r="8" spans="1:2" x14ac:dyDescent="0.3">
      <c r="A8" t="s">
        <v>41</v>
      </c>
      <c r="B8" s="1" t="s">
        <v>342</v>
      </c>
    </row>
    <row r="9" spans="1:2" x14ac:dyDescent="0.3">
      <c r="A9" t="s">
        <v>42</v>
      </c>
      <c r="B9" s="1" t="s">
        <v>343</v>
      </c>
    </row>
    <row r="10" spans="1:2" x14ac:dyDescent="0.3">
      <c r="A10" t="s">
        <v>43</v>
      </c>
      <c r="B10" s="1" t="s">
        <v>344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AE7E2-85C1-414C-A9D1-AAB2C75D98BF}">
  <sheetPr>
    <tabColor rgb="FF92D050"/>
  </sheetPr>
  <dimension ref="A1:B13"/>
  <sheetViews>
    <sheetView workbookViewId="0">
      <selection activeCell="C10" sqref="C10"/>
    </sheetView>
  </sheetViews>
  <sheetFormatPr defaultRowHeight="14.4" x14ac:dyDescent="0.3"/>
  <cols>
    <col min="1" max="1" width="16.33203125" bestFit="1" customWidth="1"/>
  </cols>
  <sheetData>
    <row r="1" spans="1:2" x14ac:dyDescent="0.3">
      <c r="A1" s="1" t="s">
        <v>0</v>
      </c>
      <c r="B1" s="1" t="s">
        <v>2</v>
      </c>
    </row>
    <row r="2" spans="1:2" x14ac:dyDescent="0.3">
      <c r="A2" t="s">
        <v>12</v>
      </c>
      <c r="B2" s="1" t="s">
        <v>17</v>
      </c>
    </row>
    <row r="3" spans="1:2" x14ac:dyDescent="0.3">
      <c r="A3" t="s">
        <v>13</v>
      </c>
      <c r="B3" s="1" t="s">
        <v>18</v>
      </c>
    </row>
    <row r="4" spans="1:2" x14ac:dyDescent="0.3">
      <c r="A4" t="s">
        <v>14</v>
      </c>
      <c r="B4" s="1" t="s">
        <v>19</v>
      </c>
    </row>
    <row r="5" spans="1:2" x14ac:dyDescent="0.3">
      <c r="A5" t="s">
        <v>15</v>
      </c>
      <c r="B5" s="1" t="s">
        <v>20</v>
      </c>
    </row>
    <row r="6" spans="1:2" x14ac:dyDescent="0.3">
      <c r="A6" t="s">
        <v>16</v>
      </c>
      <c r="B6" s="1" t="s">
        <v>21</v>
      </c>
    </row>
    <row r="7" spans="1:2" x14ac:dyDescent="0.3">
      <c r="A7" t="s">
        <v>23</v>
      </c>
      <c r="B7" s="1" t="s">
        <v>22</v>
      </c>
    </row>
    <row r="8" spans="1:2" x14ac:dyDescent="0.3">
      <c r="A8" t="s">
        <v>24</v>
      </c>
      <c r="B8" s="1" t="s">
        <v>25</v>
      </c>
    </row>
    <row r="9" spans="1:2" x14ac:dyDescent="0.3">
      <c r="A9" t="s">
        <v>26</v>
      </c>
      <c r="B9" s="1" t="s">
        <v>27</v>
      </c>
    </row>
    <row r="10" spans="1:2" x14ac:dyDescent="0.3">
      <c r="A10" t="s">
        <v>28</v>
      </c>
      <c r="B10" s="1" t="s">
        <v>29</v>
      </c>
    </row>
    <row r="11" spans="1:2" x14ac:dyDescent="0.3">
      <c r="A11" t="s">
        <v>30</v>
      </c>
      <c r="B11" s="1" t="s">
        <v>31</v>
      </c>
    </row>
    <row r="12" spans="1:2" x14ac:dyDescent="0.3">
      <c r="A12" t="s">
        <v>32</v>
      </c>
      <c r="B12" s="1" t="s">
        <v>33</v>
      </c>
    </row>
    <row r="13" spans="1:2" x14ac:dyDescent="0.3">
      <c r="A13" t="s">
        <v>34</v>
      </c>
      <c r="B13" s="1" t="s">
        <v>35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13C46-46C1-40FA-BDBE-A8B4CA8CDB09}">
  <sheetPr>
    <tabColor rgb="FF92D050"/>
  </sheetPr>
  <dimension ref="A1:B3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 t="s">
        <v>36</v>
      </c>
      <c r="B2" t="s">
        <v>38</v>
      </c>
    </row>
    <row r="3" spans="1:2" x14ac:dyDescent="0.3">
      <c r="A3" t="s">
        <v>37</v>
      </c>
      <c r="B3" t="s">
        <v>39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73C25-12FB-4E11-BD77-F4112AF2C5DE}">
  <sheetPr>
    <tabColor rgb="FF92D050"/>
  </sheetPr>
  <dimension ref="A1:H313"/>
  <sheetViews>
    <sheetView tabSelected="1" zoomScale="85" zoomScaleNormal="85" workbookViewId="0">
      <selection activeCell="B124" sqref="B124"/>
    </sheetView>
  </sheetViews>
  <sheetFormatPr defaultRowHeight="14.4" x14ac:dyDescent="0.3"/>
  <cols>
    <col min="1" max="1" width="42.5546875" customWidth="1"/>
    <col min="2" max="2" width="8.88671875" style="1" customWidth="1"/>
    <col min="3" max="8" width="20.109375" style="1" customWidth="1"/>
  </cols>
  <sheetData>
    <row r="1" spans="1:8" x14ac:dyDescent="0.3">
      <c r="A1" s="1" t="s">
        <v>0</v>
      </c>
      <c r="B1" s="1" t="s">
        <v>2</v>
      </c>
      <c r="C1" s="1" t="s">
        <v>7</v>
      </c>
      <c r="D1" s="1" t="s">
        <v>8</v>
      </c>
      <c r="E1" s="1" t="s">
        <v>321</v>
      </c>
      <c r="F1" s="1" t="s">
        <v>9</v>
      </c>
      <c r="G1" s="1" t="s">
        <v>10</v>
      </c>
      <c r="H1" s="1" t="s">
        <v>11</v>
      </c>
    </row>
    <row r="2" spans="1:8" x14ac:dyDescent="0.3">
      <c r="A2" t="s">
        <v>45</v>
      </c>
      <c r="B2" s="1">
        <v>591</v>
      </c>
      <c r="C2" s="1" t="s">
        <v>44</v>
      </c>
      <c r="D2" s="1" t="s">
        <v>340</v>
      </c>
      <c r="E2" s="1" t="s">
        <v>568</v>
      </c>
      <c r="F2" s="1" t="str">
        <f t="shared" ref="F2:F35" si="0">IF(LEFT(E2,2)="SP","SP","EX")</f>
        <v>SP</v>
      </c>
      <c r="G2" s="1" t="str">
        <f t="shared" ref="G2:G35" si="1">LEFT(E2,2)</f>
        <v>SP</v>
      </c>
      <c r="H2" s="1" t="str">
        <f t="shared" ref="H2:H47" si="2">LEFT(A2,FIND(" (",A2)-1)</f>
        <v>Araçatuba</v>
      </c>
    </row>
    <row r="3" spans="1:8" x14ac:dyDescent="0.3">
      <c r="A3" t="s">
        <v>239</v>
      </c>
      <c r="B3" s="1">
        <v>307</v>
      </c>
      <c r="C3" s="1" t="s">
        <v>44</v>
      </c>
      <c r="D3" s="1" t="s">
        <v>340</v>
      </c>
      <c r="E3" s="1" t="s">
        <v>568</v>
      </c>
      <c r="F3" s="1" t="str">
        <f t="shared" si="0"/>
        <v>SP</v>
      </c>
      <c r="G3" s="1" t="str">
        <f t="shared" si="1"/>
        <v>SP</v>
      </c>
      <c r="H3" s="1" t="str">
        <f t="shared" si="2"/>
        <v>Araçatuba</v>
      </c>
    </row>
    <row r="4" spans="1:8" x14ac:dyDescent="0.3">
      <c r="A4" t="s">
        <v>46</v>
      </c>
      <c r="B4" s="1">
        <v>380</v>
      </c>
      <c r="C4" s="1" t="s">
        <v>44</v>
      </c>
      <c r="D4" s="1" t="s">
        <v>340</v>
      </c>
      <c r="E4" s="1" t="s">
        <v>568</v>
      </c>
      <c r="F4" s="1" t="str">
        <f t="shared" si="0"/>
        <v>SP</v>
      </c>
      <c r="G4" s="1" t="str">
        <f t="shared" si="1"/>
        <v>SP</v>
      </c>
      <c r="H4" s="1" t="str">
        <f t="shared" si="2"/>
        <v>Araçatuba</v>
      </c>
    </row>
    <row r="5" spans="1:8" x14ac:dyDescent="0.3">
      <c r="A5" t="s">
        <v>47</v>
      </c>
      <c r="B5" s="1">
        <v>330</v>
      </c>
      <c r="C5" s="1" t="s">
        <v>44</v>
      </c>
      <c r="D5" s="1" t="s">
        <v>340</v>
      </c>
      <c r="E5" s="1" t="s">
        <v>568</v>
      </c>
      <c r="F5" s="1" t="str">
        <f t="shared" si="0"/>
        <v>SP</v>
      </c>
      <c r="G5" s="1" t="str">
        <f t="shared" si="1"/>
        <v>SP</v>
      </c>
      <c r="H5" s="1" t="str">
        <f t="shared" si="2"/>
        <v>Araçatuba</v>
      </c>
    </row>
    <row r="6" spans="1:8" x14ac:dyDescent="0.3">
      <c r="A6" t="s">
        <v>48</v>
      </c>
      <c r="B6" s="1">
        <v>459</v>
      </c>
      <c r="C6" s="1" t="s">
        <v>44</v>
      </c>
      <c r="D6" s="1" t="s">
        <v>340</v>
      </c>
      <c r="E6" s="1" t="s">
        <v>568</v>
      </c>
      <c r="F6" s="1" t="str">
        <f t="shared" si="0"/>
        <v>SP</v>
      </c>
      <c r="G6" s="1" t="str">
        <f t="shared" si="1"/>
        <v>SP</v>
      </c>
      <c r="H6" s="1" t="str">
        <f t="shared" si="2"/>
        <v>Araçatuba</v>
      </c>
    </row>
    <row r="7" spans="1:8" x14ac:dyDescent="0.3">
      <c r="A7" t="s">
        <v>49</v>
      </c>
      <c r="B7" s="1">
        <v>460</v>
      </c>
      <c r="C7" s="1" t="s">
        <v>44</v>
      </c>
      <c r="D7" s="1" t="s">
        <v>340</v>
      </c>
      <c r="E7" s="1" t="s">
        <v>568</v>
      </c>
      <c r="F7" s="1" t="str">
        <f t="shared" si="0"/>
        <v>SP</v>
      </c>
      <c r="G7" s="1" t="str">
        <f t="shared" si="1"/>
        <v>SP</v>
      </c>
      <c r="H7" s="1" t="str">
        <f t="shared" si="2"/>
        <v>Araçatuba</v>
      </c>
    </row>
    <row r="8" spans="1:8" x14ac:dyDescent="0.3">
      <c r="A8" t="s">
        <v>50</v>
      </c>
      <c r="B8" s="1">
        <v>461</v>
      </c>
      <c r="C8" s="1" t="s">
        <v>44</v>
      </c>
      <c r="D8" s="1" t="s">
        <v>340</v>
      </c>
      <c r="E8" s="1" t="s">
        <v>568</v>
      </c>
      <c r="F8" s="1" t="str">
        <f t="shared" si="0"/>
        <v>SP</v>
      </c>
      <c r="G8" s="1" t="str">
        <f t="shared" si="1"/>
        <v>SP</v>
      </c>
      <c r="H8" s="1" t="str">
        <f t="shared" si="2"/>
        <v>Araçatuba</v>
      </c>
    </row>
    <row r="9" spans="1:8" x14ac:dyDescent="0.3">
      <c r="A9" t="s">
        <v>51</v>
      </c>
      <c r="B9" s="1">
        <v>462</v>
      </c>
      <c r="C9" s="1" t="s">
        <v>44</v>
      </c>
      <c r="D9" s="1" t="s">
        <v>340</v>
      </c>
      <c r="E9" s="1" t="s">
        <v>568</v>
      </c>
      <c r="F9" s="1" t="str">
        <f t="shared" si="0"/>
        <v>SP</v>
      </c>
      <c r="G9" s="1" t="str">
        <f t="shared" si="1"/>
        <v>SP</v>
      </c>
      <c r="H9" s="1" t="str">
        <f t="shared" si="2"/>
        <v>Araçatuba</v>
      </c>
    </row>
    <row r="10" spans="1:8" x14ac:dyDescent="0.3">
      <c r="A10" t="s">
        <v>577</v>
      </c>
      <c r="B10" s="1">
        <v>598</v>
      </c>
      <c r="C10" s="3" t="s">
        <v>324</v>
      </c>
      <c r="E10" s="1" t="s">
        <v>22</v>
      </c>
      <c r="G10" s="1" t="str">
        <f t="shared" si="1"/>
        <v>PR</v>
      </c>
      <c r="H10" s="1" t="str">
        <f t="shared" si="2"/>
        <v>Arapongas</v>
      </c>
    </row>
    <row r="11" spans="1:8" x14ac:dyDescent="0.3">
      <c r="A11" t="s">
        <v>52</v>
      </c>
      <c r="B11" s="1">
        <v>563</v>
      </c>
      <c r="C11" s="3" t="s">
        <v>324</v>
      </c>
      <c r="D11" s="1" t="s">
        <v>342</v>
      </c>
      <c r="E11" s="1" t="s">
        <v>22</v>
      </c>
      <c r="F11" s="1" t="str">
        <f t="shared" si="0"/>
        <v>EX</v>
      </c>
      <c r="G11" s="1" t="str">
        <f t="shared" si="1"/>
        <v>PR</v>
      </c>
      <c r="H11" s="1" t="str">
        <f t="shared" si="2"/>
        <v>Arapongas</v>
      </c>
    </row>
    <row r="12" spans="1:8" x14ac:dyDescent="0.3">
      <c r="A12" t="s">
        <v>53</v>
      </c>
      <c r="B12" s="1">
        <v>455</v>
      </c>
      <c r="C12" s="3" t="s">
        <v>324</v>
      </c>
      <c r="D12" s="1" t="s">
        <v>342</v>
      </c>
      <c r="E12" s="1" t="s">
        <v>22</v>
      </c>
      <c r="F12" s="1" t="str">
        <f t="shared" si="0"/>
        <v>EX</v>
      </c>
      <c r="G12" s="1" t="str">
        <f t="shared" si="1"/>
        <v>PR</v>
      </c>
      <c r="H12" s="1" t="str">
        <f t="shared" si="2"/>
        <v>Arapongas</v>
      </c>
    </row>
    <row r="13" spans="1:8" x14ac:dyDescent="0.3">
      <c r="A13" t="s">
        <v>240</v>
      </c>
      <c r="B13" s="1">
        <v>303</v>
      </c>
      <c r="C13" s="3" t="s">
        <v>324</v>
      </c>
      <c r="D13" s="1" t="s">
        <v>342</v>
      </c>
      <c r="E13" s="1" t="s">
        <v>22</v>
      </c>
      <c r="F13" s="1" t="str">
        <f t="shared" si="0"/>
        <v>EX</v>
      </c>
      <c r="G13" s="1" t="str">
        <f t="shared" si="1"/>
        <v>PR</v>
      </c>
      <c r="H13" s="1" t="str">
        <f t="shared" si="2"/>
        <v>Arapongas</v>
      </c>
    </row>
    <row r="14" spans="1:8" x14ac:dyDescent="0.3">
      <c r="A14" t="s">
        <v>241</v>
      </c>
      <c r="B14" s="1">
        <v>304</v>
      </c>
      <c r="C14" s="3" t="s">
        <v>324</v>
      </c>
      <c r="D14" s="1" t="s">
        <v>342</v>
      </c>
      <c r="E14" s="1" t="s">
        <v>22</v>
      </c>
      <c r="F14" s="1" t="str">
        <f t="shared" si="0"/>
        <v>EX</v>
      </c>
      <c r="G14" s="1" t="str">
        <f t="shared" si="1"/>
        <v>PR</v>
      </c>
      <c r="H14" s="1" t="str">
        <f t="shared" si="2"/>
        <v>Arapongas</v>
      </c>
    </row>
    <row r="15" spans="1:8" x14ac:dyDescent="0.3">
      <c r="A15" t="s">
        <v>54</v>
      </c>
      <c r="B15" s="1">
        <v>271</v>
      </c>
      <c r="C15" s="1" t="s">
        <v>44</v>
      </c>
      <c r="D15" s="1" t="s">
        <v>339</v>
      </c>
      <c r="E15" s="1" t="s">
        <v>566</v>
      </c>
      <c r="F15" s="1" t="str">
        <f t="shared" si="0"/>
        <v>SP</v>
      </c>
      <c r="G15" s="1" t="str">
        <f t="shared" si="1"/>
        <v>SP</v>
      </c>
      <c r="H15" s="1" t="str">
        <f t="shared" si="2"/>
        <v>Araraquara</v>
      </c>
    </row>
    <row r="16" spans="1:8" x14ac:dyDescent="0.3">
      <c r="A16" t="s">
        <v>55</v>
      </c>
      <c r="B16" s="1">
        <v>275</v>
      </c>
      <c r="C16" s="1" t="s">
        <v>44</v>
      </c>
      <c r="D16" s="1" t="s">
        <v>339</v>
      </c>
      <c r="E16" s="1" t="s">
        <v>566</v>
      </c>
      <c r="F16" s="1" t="str">
        <f t="shared" si="0"/>
        <v>SP</v>
      </c>
      <c r="G16" s="1" t="str">
        <f t="shared" si="1"/>
        <v>SP</v>
      </c>
      <c r="H16" s="1" t="str">
        <f t="shared" si="2"/>
        <v>Araraquara</v>
      </c>
    </row>
    <row r="17" spans="1:8" x14ac:dyDescent="0.3">
      <c r="A17" t="s">
        <v>56</v>
      </c>
      <c r="B17" s="1">
        <v>528</v>
      </c>
      <c r="C17" s="1" t="s">
        <v>44</v>
      </c>
      <c r="D17" s="1" t="s">
        <v>339</v>
      </c>
      <c r="E17" s="1" t="s">
        <v>566</v>
      </c>
      <c r="F17" s="1" t="str">
        <f t="shared" si="0"/>
        <v>SP</v>
      </c>
      <c r="G17" s="1" t="str">
        <f t="shared" si="1"/>
        <v>SP</v>
      </c>
      <c r="H17" s="1" t="str">
        <f t="shared" si="2"/>
        <v>Araraquara</v>
      </c>
    </row>
    <row r="18" spans="1:8" x14ac:dyDescent="0.3">
      <c r="A18" t="s">
        <v>57</v>
      </c>
      <c r="B18" s="1">
        <v>529</v>
      </c>
      <c r="C18" s="1" t="s">
        <v>44</v>
      </c>
      <c r="D18" s="1" t="s">
        <v>339</v>
      </c>
      <c r="E18" s="1" t="s">
        <v>566</v>
      </c>
      <c r="F18" s="1" t="str">
        <f t="shared" si="0"/>
        <v>SP</v>
      </c>
      <c r="G18" s="1" t="str">
        <f t="shared" si="1"/>
        <v>SP</v>
      </c>
      <c r="H18" s="1" t="str">
        <f t="shared" si="2"/>
        <v>Araraquara</v>
      </c>
    </row>
    <row r="19" spans="1:8" x14ac:dyDescent="0.3">
      <c r="A19" t="s">
        <v>58</v>
      </c>
      <c r="B19" s="1">
        <v>530</v>
      </c>
      <c r="C19" s="1" t="s">
        <v>44</v>
      </c>
      <c r="D19" s="1" t="s">
        <v>339</v>
      </c>
      <c r="E19" s="1" t="s">
        <v>566</v>
      </c>
      <c r="F19" s="1" t="str">
        <f t="shared" si="0"/>
        <v>SP</v>
      </c>
      <c r="G19" s="1" t="str">
        <f t="shared" si="1"/>
        <v>SP</v>
      </c>
      <c r="H19" s="1" t="str">
        <f t="shared" si="2"/>
        <v>Araraquara</v>
      </c>
    </row>
    <row r="20" spans="1:8" x14ac:dyDescent="0.3">
      <c r="A20" t="s">
        <v>59</v>
      </c>
      <c r="B20" s="1">
        <v>531</v>
      </c>
      <c r="C20" s="1" t="s">
        <v>44</v>
      </c>
      <c r="D20" s="1" t="s">
        <v>339</v>
      </c>
      <c r="E20" s="1" t="s">
        <v>566</v>
      </c>
      <c r="F20" s="1" t="str">
        <f t="shared" si="0"/>
        <v>SP</v>
      </c>
      <c r="G20" s="1" t="str">
        <f t="shared" si="1"/>
        <v>SP</v>
      </c>
      <c r="H20" s="1" t="str">
        <f t="shared" si="2"/>
        <v>Araraquara</v>
      </c>
    </row>
    <row r="21" spans="1:8" x14ac:dyDescent="0.3">
      <c r="A21" t="s">
        <v>60</v>
      </c>
      <c r="B21" s="1">
        <v>585</v>
      </c>
      <c r="C21" s="1" t="s">
        <v>322</v>
      </c>
      <c r="D21" s="1" t="s">
        <v>337</v>
      </c>
      <c r="E21" s="1" t="s">
        <v>566</v>
      </c>
      <c r="F21" s="1" t="str">
        <f t="shared" si="0"/>
        <v>SP</v>
      </c>
      <c r="G21" s="1" t="str">
        <f t="shared" si="1"/>
        <v>SP</v>
      </c>
      <c r="H21" s="1" t="str">
        <f t="shared" si="2"/>
        <v>Araras</v>
      </c>
    </row>
    <row r="22" spans="1:8" x14ac:dyDescent="0.3">
      <c r="A22" t="s">
        <v>242</v>
      </c>
      <c r="B22" s="1">
        <v>265</v>
      </c>
      <c r="C22" s="1" t="s">
        <v>322</v>
      </c>
      <c r="D22" s="1" t="s">
        <v>337</v>
      </c>
      <c r="E22" s="1" t="s">
        <v>566</v>
      </c>
      <c r="F22" s="1" t="str">
        <f t="shared" si="0"/>
        <v>SP</v>
      </c>
      <c r="G22" s="1" t="str">
        <f t="shared" si="1"/>
        <v>SP</v>
      </c>
      <c r="H22" s="1" t="str">
        <f t="shared" si="2"/>
        <v>Araras</v>
      </c>
    </row>
    <row r="23" spans="1:8" x14ac:dyDescent="0.3">
      <c r="A23" t="s">
        <v>61</v>
      </c>
      <c r="B23" s="1">
        <v>392</v>
      </c>
      <c r="C23" s="1" t="s">
        <v>322</v>
      </c>
      <c r="D23" s="1" t="s">
        <v>337</v>
      </c>
      <c r="E23" s="1" t="s">
        <v>566</v>
      </c>
      <c r="F23" s="1" t="str">
        <f t="shared" si="0"/>
        <v>SP</v>
      </c>
      <c r="G23" s="1" t="str">
        <f t="shared" si="1"/>
        <v>SP</v>
      </c>
      <c r="H23" s="1" t="str">
        <f t="shared" si="2"/>
        <v>Araras</v>
      </c>
    </row>
    <row r="24" spans="1:8" x14ac:dyDescent="0.3">
      <c r="A24" t="s">
        <v>243</v>
      </c>
      <c r="B24" s="1">
        <v>370</v>
      </c>
      <c r="C24" s="1" t="s">
        <v>44</v>
      </c>
      <c r="D24" s="1" t="s">
        <v>340</v>
      </c>
      <c r="E24" s="1" t="s">
        <v>569</v>
      </c>
      <c r="F24" s="1" t="str">
        <f t="shared" si="0"/>
        <v>SP</v>
      </c>
      <c r="G24" s="1" t="str">
        <f t="shared" si="1"/>
        <v>SP</v>
      </c>
      <c r="H24" s="1" t="str">
        <f t="shared" si="2"/>
        <v>Assis</v>
      </c>
    </row>
    <row r="25" spans="1:8" x14ac:dyDescent="0.3">
      <c r="A25" t="s">
        <v>244</v>
      </c>
      <c r="B25" s="1">
        <v>371</v>
      </c>
      <c r="C25" s="1" t="s">
        <v>44</v>
      </c>
      <c r="D25" s="1" t="s">
        <v>340</v>
      </c>
      <c r="E25" s="1" t="s">
        <v>569</v>
      </c>
      <c r="F25" s="1" t="str">
        <f t="shared" si="0"/>
        <v>SP</v>
      </c>
      <c r="G25" s="1" t="str">
        <f t="shared" si="1"/>
        <v>SP</v>
      </c>
      <c r="H25" s="1" t="str">
        <f t="shared" si="2"/>
        <v>Assis</v>
      </c>
    </row>
    <row r="26" spans="1:8" x14ac:dyDescent="0.3">
      <c r="A26" t="s">
        <v>62</v>
      </c>
      <c r="B26" s="1">
        <v>445</v>
      </c>
      <c r="C26" s="1" t="s">
        <v>44</v>
      </c>
      <c r="D26" s="1" t="s">
        <v>340</v>
      </c>
      <c r="E26" s="1" t="s">
        <v>569</v>
      </c>
      <c r="F26" s="1" t="str">
        <f t="shared" si="0"/>
        <v>SP</v>
      </c>
      <c r="G26" s="1" t="str">
        <f t="shared" si="1"/>
        <v>SP</v>
      </c>
      <c r="H26" s="1" t="str">
        <f t="shared" si="2"/>
        <v>Assis</v>
      </c>
    </row>
    <row r="27" spans="1:8" x14ac:dyDescent="0.3">
      <c r="A27" t="s">
        <v>63</v>
      </c>
      <c r="B27" s="1">
        <v>450</v>
      </c>
      <c r="C27" s="1" t="s">
        <v>44</v>
      </c>
      <c r="D27" s="1" t="s">
        <v>340</v>
      </c>
      <c r="E27" s="1" t="s">
        <v>569</v>
      </c>
      <c r="F27" s="1" t="str">
        <f t="shared" si="0"/>
        <v>SP</v>
      </c>
      <c r="G27" s="1" t="str">
        <f t="shared" si="1"/>
        <v>SP</v>
      </c>
      <c r="H27" s="1" t="str">
        <f t="shared" si="2"/>
        <v>Assis</v>
      </c>
    </row>
    <row r="28" spans="1:8" x14ac:dyDescent="0.3">
      <c r="A28" t="s">
        <v>64</v>
      </c>
      <c r="B28" s="1">
        <v>570</v>
      </c>
      <c r="C28" s="1" t="s">
        <v>44</v>
      </c>
      <c r="D28" s="1" t="s">
        <v>340</v>
      </c>
      <c r="E28" s="1" t="s">
        <v>569</v>
      </c>
      <c r="F28" s="1" t="str">
        <f t="shared" si="0"/>
        <v>SP</v>
      </c>
      <c r="G28" s="1" t="str">
        <f t="shared" si="1"/>
        <v>SP</v>
      </c>
      <c r="H28" s="1" t="str">
        <f t="shared" si="2"/>
        <v>Assis</v>
      </c>
    </row>
    <row r="29" spans="1:8" x14ac:dyDescent="0.3">
      <c r="A29" t="s">
        <v>65</v>
      </c>
      <c r="B29" s="1">
        <v>571</v>
      </c>
      <c r="C29" s="1" t="s">
        <v>44</v>
      </c>
      <c r="D29" s="1" t="s">
        <v>340</v>
      </c>
      <c r="E29" s="1" t="s">
        <v>569</v>
      </c>
      <c r="F29" s="1" t="str">
        <f t="shared" si="0"/>
        <v>SP</v>
      </c>
      <c r="G29" s="1" t="str">
        <f t="shared" si="1"/>
        <v>SP</v>
      </c>
      <c r="H29" s="1" t="str">
        <f t="shared" si="2"/>
        <v>Assis</v>
      </c>
    </row>
    <row r="30" spans="1:8" x14ac:dyDescent="0.3">
      <c r="A30" t="s">
        <v>578</v>
      </c>
      <c r="B30" s="1">
        <v>614</v>
      </c>
      <c r="C30" s="3" t="s">
        <v>324</v>
      </c>
      <c r="E30" s="1" t="s">
        <v>22</v>
      </c>
      <c r="H30" s="1" t="str">
        <f t="shared" si="2"/>
        <v>Assis Chateaubriand</v>
      </c>
    </row>
    <row r="31" spans="1:8" x14ac:dyDescent="0.3">
      <c r="A31" s="7" t="s">
        <v>564</v>
      </c>
      <c r="B31" s="1">
        <v>618</v>
      </c>
      <c r="C31" s="3" t="s">
        <v>324</v>
      </c>
      <c r="D31" s="1" t="s">
        <v>341</v>
      </c>
      <c r="E31" s="1" t="s">
        <v>22</v>
      </c>
      <c r="F31" s="1" t="str">
        <f t="shared" si="0"/>
        <v>EX</v>
      </c>
      <c r="G31" s="1" t="str">
        <f t="shared" si="1"/>
        <v>PR</v>
      </c>
      <c r="H31" s="1" t="str">
        <f t="shared" si="2"/>
        <v>Assis Chateaubriand</v>
      </c>
    </row>
    <row r="32" spans="1:8" x14ac:dyDescent="0.3">
      <c r="A32" t="s">
        <v>245</v>
      </c>
      <c r="B32" s="1">
        <v>474</v>
      </c>
      <c r="C32" s="3" t="s">
        <v>324</v>
      </c>
      <c r="D32" s="1" t="s">
        <v>341</v>
      </c>
      <c r="E32" s="1" t="s">
        <v>22</v>
      </c>
      <c r="F32" s="1" t="str">
        <f t="shared" si="0"/>
        <v>EX</v>
      </c>
      <c r="G32" s="1" t="str">
        <f t="shared" si="1"/>
        <v>PR</v>
      </c>
      <c r="H32" s="1" t="str">
        <f t="shared" si="2"/>
        <v>Assis Chateaubriand</v>
      </c>
    </row>
    <row r="33" spans="1:8" x14ac:dyDescent="0.3">
      <c r="A33" t="s">
        <v>66</v>
      </c>
      <c r="B33" s="1">
        <v>552</v>
      </c>
      <c r="C33" s="3" t="s">
        <v>324</v>
      </c>
      <c r="D33" s="1" t="s">
        <v>341</v>
      </c>
      <c r="E33" s="1" t="s">
        <v>22</v>
      </c>
      <c r="F33" s="1" t="str">
        <f t="shared" si="0"/>
        <v>EX</v>
      </c>
      <c r="G33" s="1" t="str">
        <f t="shared" si="1"/>
        <v>PR</v>
      </c>
      <c r="H33" s="1" t="str">
        <f t="shared" si="2"/>
        <v>Assis Chateaubriand</v>
      </c>
    </row>
    <row r="34" spans="1:8" x14ac:dyDescent="0.3">
      <c r="A34" t="s">
        <v>246</v>
      </c>
      <c r="B34" s="1">
        <v>357</v>
      </c>
      <c r="C34" s="3" t="s">
        <v>324</v>
      </c>
      <c r="D34" s="1" t="s">
        <v>341</v>
      </c>
      <c r="E34" s="1" t="s">
        <v>22</v>
      </c>
      <c r="F34" s="1" t="str">
        <f t="shared" si="0"/>
        <v>EX</v>
      </c>
      <c r="G34" s="1" t="str">
        <f t="shared" si="1"/>
        <v>PR</v>
      </c>
      <c r="H34" s="1" t="str">
        <f t="shared" si="2"/>
        <v>Assis Chateaubriand</v>
      </c>
    </row>
    <row r="35" spans="1:8" x14ac:dyDescent="0.3">
      <c r="A35" t="s">
        <v>247</v>
      </c>
      <c r="B35" s="1">
        <v>358</v>
      </c>
      <c r="C35" s="3" t="s">
        <v>324</v>
      </c>
      <c r="D35" s="1" t="s">
        <v>341</v>
      </c>
      <c r="E35" s="1" t="s">
        <v>22</v>
      </c>
      <c r="F35" s="1" t="str">
        <f t="shared" si="0"/>
        <v>EX</v>
      </c>
      <c r="G35" s="1" t="str">
        <f t="shared" si="1"/>
        <v>PR</v>
      </c>
      <c r="H35" s="1" t="str">
        <f t="shared" si="2"/>
        <v>Assis Chateaubriand</v>
      </c>
    </row>
    <row r="36" spans="1:8" x14ac:dyDescent="0.3">
      <c r="A36" t="s">
        <v>67</v>
      </c>
      <c r="B36" s="1">
        <v>447</v>
      </c>
      <c r="C36" s="3" t="s">
        <v>324</v>
      </c>
      <c r="D36" s="1" t="s">
        <v>341</v>
      </c>
      <c r="E36" s="1" t="s">
        <v>22</v>
      </c>
      <c r="F36" s="1" t="str">
        <f t="shared" ref="F36:F71" si="3">IF(LEFT(E36,2)="SP","SP","EX")</f>
        <v>EX</v>
      </c>
      <c r="G36" s="1" t="str">
        <f t="shared" ref="G36:G71" si="4">LEFT(E36,2)</f>
        <v>PR</v>
      </c>
      <c r="H36" s="1" t="str">
        <f t="shared" si="2"/>
        <v>Assis Chateaubriand</v>
      </c>
    </row>
    <row r="37" spans="1:8" x14ac:dyDescent="0.3">
      <c r="A37" t="s">
        <v>580</v>
      </c>
      <c r="B37" s="1">
        <v>601</v>
      </c>
      <c r="C37" s="1" t="s">
        <v>322</v>
      </c>
      <c r="E37" s="1" t="s">
        <v>569</v>
      </c>
      <c r="H37" s="1" t="str">
        <f t="shared" si="2"/>
        <v>Avaré</v>
      </c>
    </row>
    <row r="38" spans="1:8" x14ac:dyDescent="0.3">
      <c r="A38" t="s">
        <v>579</v>
      </c>
      <c r="B38" s="1">
        <v>602</v>
      </c>
      <c r="C38" s="1" t="s">
        <v>322</v>
      </c>
      <c r="E38" s="1" t="s">
        <v>569</v>
      </c>
      <c r="H38" s="1" t="str">
        <f t="shared" si="2"/>
        <v>Avaré</v>
      </c>
    </row>
    <row r="39" spans="1:8" x14ac:dyDescent="0.3">
      <c r="A39" t="s">
        <v>68</v>
      </c>
      <c r="B39" s="1">
        <v>229</v>
      </c>
      <c r="C39" s="1" t="s">
        <v>322</v>
      </c>
      <c r="D39" s="1" t="s">
        <v>338</v>
      </c>
      <c r="E39" s="1" t="s">
        <v>569</v>
      </c>
      <c r="F39" s="1" t="str">
        <f t="shared" si="3"/>
        <v>SP</v>
      </c>
      <c r="G39" s="1" t="str">
        <f t="shared" si="4"/>
        <v>SP</v>
      </c>
      <c r="H39" s="1" t="str">
        <f t="shared" si="2"/>
        <v>Avaré</v>
      </c>
    </row>
    <row r="40" spans="1:8" x14ac:dyDescent="0.3">
      <c r="A40" t="s">
        <v>69</v>
      </c>
      <c r="B40" s="1">
        <v>249</v>
      </c>
      <c r="C40" s="1" t="s">
        <v>322</v>
      </c>
      <c r="D40" s="1" t="s">
        <v>338</v>
      </c>
      <c r="E40" s="1" t="s">
        <v>569</v>
      </c>
      <c r="F40" s="1" t="str">
        <f t="shared" si="3"/>
        <v>SP</v>
      </c>
      <c r="G40" s="1" t="str">
        <f t="shared" si="4"/>
        <v>SP</v>
      </c>
      <c r="H40" s="1" t="str">
        <f t="shared" si="2"/>
        <v>Avaré</v>
      </c>
    </row>
    <row r="41" spans="1:8" x14ac:dyDescent="0.3">
      <c r="A41" t="s">
        <v>70</v>
      </c>
      <c r="B41" s="1">
        <v>586</v>
      </c>
      <c r="C41" s="1" t="s">
        <v>323</v>
      </c>
      <c r="D41" s="1" t="s">
        <v>336</v>
      </c>
      <c r="E41" s="1" t="s">
        <v>568</v>
      </c>
      <c r="F41" s="1" t="str">
        <f t="shared" si="3"/>
        <v>SP</v>
      </c>
      <c r="G41" s="1" t="str">
        <f t="shared" si="4"/>
        <v>SP</v>
      </c>
      <c r="H41" s="1" t="str">
        <f t="shared" si="2"/>
        <v>Bady Bassitt</v>
      </c>
    </row>
    <row r="42" spans="1:8" x14ac:dyDescent="0.3">
      <c r="A42" t="s">
        <v>71</v>
      </c>
      <c r="B42" s="1">
        <v>469</v>
      </c>
      <c r="C42" s="1" t="s">
        <v>323</v>
      </c>
      <c r="D42" s="1" t="s">
        <v>336</v>
      </c>
      <c r="E42" s="1" t="s">
        <v>568</v>
      </c>
      <c r="F42" s="1" t="str">
        <f t="shared" si="3"/>
        <v>SP</v>
      </c>
      <c r="G42" s="1" t="str">
        <f t="shared" si="4"/>
        <v>SP</v>
      </c>
      <c r="H42" s="1" t="str">
        <f t="shared" si="2"/>
        <v>Bálsamo</v>
      </c>
    </row>
    <row r="43" spans="1:8" x14ac:dyDescent="0.3">
      <c r="A43" t="s">
        <v>248</v>
      </c>
      <c r="B43" s="1">
        <v>368</v>
      </c>
      <c r="C43" s="1" t="s">
        <v>323</v>
      </c>
      <c r="D43" s="1" t="s">
        <v>336</v>
      </c>
      <c r="E43" s="1" t="s">
        <v>568</v>
      </c>
      <c r="F43" s="1" t="str">
        <f t="shared" si="3"/>
        <v>SP</v>
      </c>
      <c r="G43" s="1" t="str">
        <f t="shared" si="4"/>
        <v>SP</v>
      </c>
      <c r="H43" s="1" t="str">
        <f t="shared" si="2"/>
        <v>Barretos</v>
      </c>
    </row>
    <row r="44" spans="1:8" x14ac:dyDescent="0.3">
      <c r="A44" t="s">
        <v>249</v>
      </c>
      <c r="B44" s="1">
        <v>375</v>
      </c>
      <c r="C44" s="1" t="s">
        <v>323</v>
      </c>
      <c r="D44" s="1" t="s">
        <v>336</v>
      </c>
      <c r="E44" s="1" t="s">
        <v>568</v>
      </c>
      <c r="F44" s="1" t="str">
        <f t="shared" si="3"/>
        <v>SP</v>
      </c>
      <c r="G44" s="1" t="str">
        <f t="shared" si="4"/>
        <v>SP</v>
      </c>
      <c r="H44" s="1" t="str">
        <f t="shared" si="2"/>
        <v>Barretos</v>
      </c>
    </row>
    <row r="45" spans="1:8" x14ac:dyDescent="0.3">
      <c r="A45" t="s">
        <v>72</v>
      </c>
      <c r="B45" s="1">
        <v>325</v>
      </c>
      <c r="C45" s="1" t="s">
        <v>323</v>
      </c>
      <c r="D45" s="1" t="s">
        <v>336</v>
      </c>
      <c r="E45" s="1" t="s">
        <v>568</v>
      </c>
      <c r="F45" s="1" t="str">
        <f t="shared" si="3"/>
        <v>SP</v>
      </c>
      <c r="G45" s="1" t="str">
        <f t="shared" si="4"/>
        <v>SP</v>
      </c>
      <c r="H45" s="1" t="str">
        <f t="shared" si="2"/>
        <v>Barretos</v>
      </c>
    </row>
    <row r="46" spans="1:8" x14ac:dyDescent="0.3">
      <c r="A46" t="s">
        <v>73</v>
      </c>
      <c r="B46" s="1">
        <v>533</v>
      </c>
      <c r="C46" s="1" t="s">
        <v>323</v>
      </c>
      <c r="D46" s="1" t="s">
        <v>336</v>
      </c>
      <c r="E46" s="1" t="s">
        <v>568</v>
      </c>
      <c r="F46" s="1" t="str">
        <f t="shared" si="3"/>
        <v>SP</v>
      </c>
      <c r="G46" s="1" t="str">
        <f t="shared" si="4"/>
        <v>SP</v>
      </c>
      <c r="H46" s="1" t="str">
        <f t="shared" si="2"/>
        <v>Barretos</v>
      </c>
    </row>
    <row r="47" spans="1:8" x14ac:dyDescent="0.3">
      <c r="A47" t="s">
        <v>74</v>
      </c>
      <c r="B47" s="1">
        <v>534</v>
      </c>
      <c r="C47" s="1" t="s">
        <v>323</v>
      </c>
      <c r="D47" s="1" t="s">
        <v>336</v>
      </c>
      <c r="E47" s="1" t="s">
        <v>568</v>
      </c>
      <c r="F47" s="1" t="str">
        <f t="shared" si="3"/>
        <v>SP</v>
      </c>
      <c r="G47" s="1" t="str">
        <f t="shared" si="4"/>
        <v>SP</v>
      </c>
      <c r="H47" s="1" t="str">
        <f t="shared" si="2"/>
        <v>Barretos</v>
      </c>
    </row>
    <row r="48" spans="1:8" x14ac:dyDescent="0.3">
      <c r="A48" t="s">
        <v>250</v>
      </c>
      <c r="B48" s="1">
        <v>180</v>
      </c>
      <c r="C48" s="1" t="s">
        <v>323</v>
      </c>
      <c r="D48" s="1" t="s">
        <v>336</v>
      </c>
      <c r="E48" s="1" t="s">
        <v>568</v>
      </c>
      <c r="F48" s="1" t="str">
        <f t="shared" si="3"/>
        <v>SP</v>
      </c>
      <c r="G48" s="1" t="str">
        <f t="shared" si="4"/>
        <v>SP</v>
      </c>
      <c r="H48" s="1" t="s">
        <v>327</v>
      </c>
    </row>
    <row r="49" spans="1:8" x14ac:dyDescent="0.3">
      <c r="A49" t="s">
        <v>251</v>
      </c>
      <c r="B49" s="1">
        <v>192</v>
      </c>
      <c r="C49" s="1" t="s">
        <v>323</v>
      </c>
      <c r="D49" s="1" t="s">
        <v>336</v>
      </c>
      <c r="E49" s="1" t="s">
        <v>568</v>
      </c>
      <c r="F49" s="1" t="str">
        <f t="shared" si="3"/>
        <v>SP</v>
      </c>
      <c r="G49" s="1" t="str">
        <f t="shared" si="4"/>
        <v>SP</v>
      </c>
      <c r="H49" s="1" t="s">
        <v>327</v>
      </c>
    </row>
    <row r="50" spans="1:8" x14ac:dyDescent="0.3">
      <c r="A50" t="s">
        <v>252</v>
      </c>
      <c r="B50" s="1">
        <v>314</v>
      </c>
      <c r="C50" s="1" t="s">
        <v>323</v>
      </c>
      <c r="D50" s="1" t="s">
        <v>336</v>
      </c>
      <c r="E50" s="1" t="s">
        <v>568</v>
      </c>
      <c r="F50" s="1" t="str">
        <f t="shared" si="3"/>
        <v>SP</v>
      </c>
      <c r="G50" s="1" t="str">
        <f t="shared" si="4"/>
        <v>SP</v>
      </c>
      <c r="H50" s="1" t="s">
        <v>327</v>
      </c>
    </row>
    <row r="51" spans="1:8" x14ac:dyDescent="0.3">
      <c r="A51" s="7" t="s">
        <v>551</v>
      </c>
      <c r="B51" s="1">
        <v>258</v>
      </c>
      <c r="C51" s="1" t="s">
        <v>323</v>
      </c>
      <c r="D51" s="1" t="s">
        <v>336</v>
      </c>
      <c r="E51" s="1" t="s">
        <v>568</v>
      </c>
      <c r="F51" s="1" t="str">
        <f t="shared" si="3"/>
        <v>SP</v>
      </c>
      <c r="G51" s="1" t="str">
        <f t="shared" si="4"/>
        <v>SP</v>
      </c>
      <c r="H51" s="1" t="s">
        <v>327</v>
      </c>
    </row>
    <row r="52" spans="1:8" x14ac:dyDescent="0.3">
      <c r="A52" t="s">
        <v>253</v>
      </c>
      <c r="B52" s="1">
        <v>223</v>
      </c>
      <c r="C52" s="1" t="s">
        <v>322</v>
      </c>
      <c r="D52" s="1" t="s">
        <v>339</v>
      </c>
      <c r="E52" s="1" t="s">
        <v>570</v>
      </c>
      <c r="F52" s="1" t="str">
        <f t="shared" si="3"/>
        <v>SP</v>
      </c>
      <c r="G52" s="1" t="str">
        <f t="shared" si="4"/>
        <v>SP</v>
      </c>
      <c r="H52" s="1" t="str">
        <f t="shared" ref="H52:H90" si="5">LEFT(A52,FIND(" (",A52)-1)</f>
        <v>Bauru</v>
      </c>
    </row>
    <row r="53" spans="1:8" x14ac:dyDescent="0.3">
      <c r="A53" t="s">
        <v>254</v>
      </c>
      <c r="B53" s="1">
        <v>331</v>
      </c>
      <c r="C53" s="1" t="s">
        <v>322</v>
      </c>
      <c r="D53" s="1" t="s">
        <v>339</v>
      </c>
      <c r="E53" s="1" t="s">
        <v>570</v>
      </c>
      <c r="F53" s="1" t="str">
        <f t="shared" si="3"/>
        <v>SP</v>
      </c>
      <c r="G53" s="1" t="str">
        <f t="shared" si="4"/>
        <v>SP</v>
      </c>
      <c r="H53" s="1" t="str">
        <f t="shared" si="5"/>
        <v>Bauru</v>
      </c>
    </row>
    <row r="54" spans="1:8" x14ac:dyDescent="0.3">
      <c r="A54" t="s">
        <v>255</v>
      </c>
      <c r="B54" s="1">
        <v>224</v>
      </c>
      <c r="C54" s="1" t="s">
        <v>322</v>
      </c>
      <c r="D54" s="1" t="s">
        <v>339</v>
      </c>
      <c r="E54" s="1" t="s">
        <v>570</v>
      </c>
      <c r="F54" s="1" t="str">
        <f t="shared" si="3"/>
        <v>SP</v>
      </c>
      <c r="G54" s="1" t="str">
        <f t="shared" si="4"/>
        <v>SP</v>
      </c>
      <c r="H54" s="1" t="str">
        <f t="shared" si="5"/>
        <v>Bauru</v>
      </c>
    </row>
    <row r="55" spans="1:8" x14ac:dyDescent="0.3">
      <c r="A55" t="s">
        <v>256</v>
      </c>
      <c r="B55" s="1">
        <v>267</v>
      </c>
      <c r="C55" s="1" t="s">
        <v>322</v>
      </c>
      <c r="D55" s="1" t="s">
        <v>339</v>
      </c>
      <c r="E55" s="1" t="s">
        <v>570</v>
      </c>
      <c r="F55" s="1" t="str">
        <f t="shared" si="3"/>
        <v>SP</v>
      </c>
      <c r="G55" s="1" t="str">
        <f t="shared" si="4"/>
        <v>SP</v>
      </c>
      <c r="H55" s="1" t="str">
        <f t="shared" si="5"/>
        <v>Bauru</v>
      </c>
    </row>
    <row r="56" spans="1:8" x14ac:dyDescent="0.3">
      <c r="A56" t="s">
        <v>257</v>
      </c>
      <c r="B56" s="1">
        <v>268</v>
      </c>
      <c r="C56" s="1" t="s">
        <v>322</v>
      </c>
      <c r="D56" s="1" t="s">
        <v>339</v>
      </c>
      <c r="E56" s="1" t="s">
        <v>570</v>
      </c>
      <c r="F56" s="1" t="str">
        <f t="shared" si="3"/>
        <v>SP</v>
      </c>
      <c r="G56" s="1" t="str">
        <f t="shared" si="4"/>
        <v>SP</v>
      </c>
      <c r="H56" s="1" t="str">
        <f t="shared" si="5"/>
        <v>Bauru</v>
      </c>
    </row>
    <row r="57" spans="1:8" x14ac:dyDescent="0.3">
      <c r="A57" t="s">
        <v>77</v>
      </c>
      <c r="B57" s="1">
        <v>274</v>
      </c>
      <c r="C57" s="1" t="s">
        <v>322</v>
      </c>
      <c r="D57" s="1" t="s">
        <v>339</v>
      </c>
      <c r="E57" s="1" t="s">
        <v>570</v>
      </c>
      <c r="F57" s="1" t="str">
        <f t="shared" si="3"/>
        <v>SP</v>
      </c>
      <c r="G57" s="1" t="str">
        <f t="shared" si="4"/>
        <v>SP</v>
      </c>
      <c r="H57" s="1" t="str">
        <f t="shared" si="5"/>
        <v>Bauru</v>
      </c>
    </row>
    <row r="58" spans="1:8" x14ac:dyDescent="0.3">
      <c r="A58" t="s">
        <v>75</v>
      </c>
      <c r="B58" s="1">
        <v>208</v>
      </c>
      <c r="C58" s="1" t="s">
        <v>322</v>
      </c>
      <c r="D58" s="1" t="s">
        <v>339</v>
      </c>
      <c r="E58" s="1" t="s">
        <v>570</v>
      </c>
      <c r="F58" s="1" t="str">
        <f t="shared" si="3"/>
        <v>SP</v>
      </c>
      <c r="G58" s="1" t="str">
        <f t="shared" si="4"/>
        <v>SP</v>
      </c>
      <c r="H58" s="1" t="str">
        <f t="shared" si="5"/>
        <v>Bauru</v>
      </c>
    </row>
    <row r="59" spans="1:8" x14ac:dyDescent="0.3">
      <c r="A59" t="s">
        <v>76</v>
      </c>
      <c r="B59" s="1">
        <v>260</v>
      </c>
      <c r="C59" s="1" t="s">
        <v>322</v>
      </c>
      <c r="D59" s="1" t="s">
        <v>339</v>
      </c>
      <c r="E59" s="1" t="s">
        <v>570</v>
      </c>
      <c r="F59" s="1" t="str">
        <f t="shared" si="3"/>
        <v>SP</v>
      </c>
      <c r="G59" s="1" t="str">
        <f t="shared" si="4"/>
        <v>SP</v>
      </c>
      <c r="H59" s="1" t="str">
        <f t="shared" si="5"/>
        <v>Bauru</v>
      </c>
    </row>
    <row r="60" spans="1:8" x14ac:dyDescent="0.3">
      <c r="A60" t="s">
        <v>258</v>
      </c>
      <c r="B60" s="1">
        <v>226</v>
      </c>
      <c r="C60" s="1" t="s">
        <v>322</v>
      </c>
      <c r="D60" s="1" t="s">
        <v>338</v>
      </c>
      <c r="E60" s="1" t="s">
        <v>570</v>
      </c>
      <c r="F60" s="1" t="str">
        <f t="shared" si="3"/>
        <v>SP</v>
      </c>
      <c r="G60" s="1" t="str">
        <f t="shared" si="4"/>
        <v>SP</v>
      </c>
      <c r="H60" s="1" t="str">
        <f t="shared" si="5"/>
        <v>Botucatu</v>
      </c>
    </row>
    <row r="61" spans="1:8" x14ac:dyDescent="0.3">
      <c r="A61" t="s">
        <v>259</v>
      </c>
      <c r="B61" s="1">
        <v>300</v>
      </c>
      <c r="C61" s="1" t="s">
        <v>322</v>
      </c>
      <c r="D61" s="1" t="s">
        <v>338</v>
      </c>
      <c r="E61" s="1" t="s">
        <v>570</v>
      </c>
      <c r="F61" s="1" t="str">
        <f t="shared" si="3"/>
        <v>SP</v>
      </c>
      <c r="G61" s="1" t="str">
        <f t="shared" si="4"/>
        <v>SP</v>
      </c>
      <c r="H61" s="1" t="str">
        <f t="shared" si="5"/>
        <v>Botucatu</v>
      </c>
    </row>
    <row r="62" spans="1:8" x14ac:dyDescent="0.3">
      <c r="A62" t="s">
        <v>78</v>
      </c>
      <c r="B62" s="1">
        <v>301</v>
      </c>
      <c r="C62" s="1" t="s">
        <v>322</v>
      </c>
      <c r="D62" s="1" t="s">
        <v>338</v>
      </c>
      <c r="E62" s="1" t="s">
        <v>570</v>
      </c>
      <c r="F62" s="1" t="str">
        <f t="shared" si="3"/>
        <v>SP</v>
      </c>
      <c r="G62" s="1" t="str">
        <f t="shared" si="4"/>
        <v>SP</v>
      </c>
      <c r="H62" s="1" t="str">
        <f t="shared" si="5"/>
        <v>Botucatu</v>
      </c>
    </row>
    <row r="63" spans="1:8" x14ac:dyDescent="0.3">
      <c r="A63" t="s">
        <v>581</v>
      </c>
      <c r="B63" s="1">
        <v>593</v>
      </c>
      <c r="E63" s="1" t="s">
        <v>571</v>
      </c>
    </row>
    <row r="64" spans="1:8" x14ac:dyDescent="0.3">
      <c r="A64" t="s">
        <v>582</v>
      </c>
      <c r="B64" s="1">
        <v>594</v>
      </c>
      <c r="E64" s="1" t="s">
        <v>571</v>
      </c>
    </row>
    <row r="65" spans="1:8" x14ac:dyDescent="0.3">
      <c r="A65" t="s">
        <v>260</v>
      </c>
      <c r="B65" s="1">
        <v>364</v>
      </c>
      <c r="C65" s="3" t="s">
        <v>324</v>
      </c>
      <c r="D65" s="1" t="s">
        <v>341</v>
      </c>
      <c r="E65" s="1" t="s">
        <v>22</v>
      </c>
      <c r="F65" s="1" t="str">
        <f t="shared" si="3"/>
        <v>EX</v>
      </c>
      <c r="G65" s="1" t="str">
        <f t="shared" si="4"/>
        <v>PR</v>
      </c>
      <c r="H65" s="1" t="str">
        <f t="shared" si="5"/>
        <v>Cafelândia</v>
      </c>
    </row>
    <row r="66" spans="1:8" x14ac:dyDescent="0.3">
      <c r="A66" t="s">
        <v>79</v>
      </c>
      <c r="B66" s="1">
        <v>595</v>
      </c>
      <c r="C66" s="3" t="s">
        <v>324</v>
      </c>
      <c r="D66" s="1" t="s">
        <v>341</v>
      </c>
      <c r="E66" s="1" t="s">
        <v>22</v>
      </c>
      <c r="F66" s="1" t="str">
        <f t="shared" si="3"/>
        <v>EX</v>
      </c>
      <c r="G66" s="1" t="str">
        <f t="shared" si="4"/>
        <v>PR</v>
      </c>
      <c r="H66" s="1" t="str">
        <f t="shared" si="5"/>
        <v>Campo Mourão</v>
      </c>
    </row>
    <row r="67" spans="1:8" x14ac:dyDescent="0.3">
      <c r="A67" t="s">
        <v>80</v>
      </c>
      <c r="B67" s="1">
        <v>596</v>
      </c>
      <c r="C67" s="3" t="s">
        <v>324</v>
      </c>
      <c r="D67" s="1" t="s">
        <v>341</v>
      </c>
      <c r="E67" s="1" t="s">
        <v>22</v>
      </c>
      <c r="F67" s="1" t="str">
        <f t="shared" si="3"/>
        <v>EX</v>
      </c>
      <c r="G67" s="1" t="str">
        <f t="shared" si="4"/>
        <v>PR</v>
      </c>
      <c r="H67" s="1" t="str">
        <f t="shared" si="5"/>
        <v>Campo Mourão</v>
      </c>
    </row>
    <row r="68" spans="1:8" x14ac:dyDescent="0.3">
      <c r="A68" t="s">
        <v>81</v>
      </c>
      <c r="B68" s="1">
        <v>557</v>
      </c>
      <c r="C68" s="1" t="s">
        <v>323</v>
      </c>
      <c r="D68" s="1" t="s">
        <v>336</v>
      </c>
      <c r="E68" s="1" t="s">
        <v>568</v>
      </c>
      <c r="F68" s="1" t="str">
        <f t="shared" si="3"/>
        <v>SP</v>
      </c>
      <c r="G68" s="1" t="str">
        <f t="shared" si="4"/>
        <v>SP</v>
      </c>
      <c r="H68" s="1" t="str">
        <f t="shared" si="5"/>
        <v>Catanduva</v>
      </c>
    </row>
    <row r="69" spans="1:8" x14ac:dyDescent="0.3">
      <c r="A69" t="s">
        <v>82</v>
      </c>
      <c r="B69" s="1">
        <v>348</v>
      </c>
      <c r="C69" s="1" t="s">
        <v>323</v>
      </c>
      <c r="D69" s="1" t="s">
        <v>336</v>
      </c>
      <c r="E69" s="1" t="s">
        <v>568</v>
      </c>
      <c r="F69" s="1" t="str">
        <f t="shared" si="3"/>
        <v>SP</v>
      </c>
      <c r="G69" s="1" t="str">
        <f t="shared" si="4"/>
        <v>SP</v>
      </c>
      <c r="H69" s="1" t="str">
        <f t="shared" si="5"/>
        <v>Catanduva</v>
      </c>
    </row>
    <row r="70" spans="1:8" x14ac:dyDescent="0.3">
      <c r="A70" t="s">
        <v>83</v>
      </c>
      <c r="B70" s="1">
        <v>451</v>
      </c>
      <c r="C70" s="1" t="s">
        <v>323</v>
      </c>
      <c r="D70" s="1" t="s">
        <v>336</v>
      </c>
      <c r="E70" s="1" t="s">
        <v>568</v>
      </c>
      <c r="F70" s="1" t="str">
        <f t="shared" si="3"/>
        <v>SP</v>
      </c>
      <c r="G70" s="1" t="str">
        <f t="shared" si="4"/>
        <v>SP</v>
      </c>
      <c r="H70" s="1" t="str">
        <f t="shared" si="5"/>
        <v>Catanduva</v>
      </c>
    </row>
    <row r="71" spans="1:8" x14ac:dyDescent="0.3">
      <c r="A71" t="s">
        <v>84</v>
      </c>
      <c r="B71" s="1">
        <v>537</v>
      </c>
      <c r="C71" s="1" t="s">
        <v>323</v>
      </c>
      <c r="D71" s="1" t="s">
        <v>336</v>
      </c>
      <c r="E71" s="1" t="s">
        <v>568</v>
      </c>
      <c r="F71" s="1" t="str">
        <f t="shared" si="3"/>
        <v>SP</v>
      </c>
      <c r="G71" s="1" t="str">
        <f t="shared" si="4"/>
        <v>SP</v>
      </c>
      <c r="H71" s="1" t="str">
        <f t="shared" si="5"/>
        <v>Catanduva</v>
      </c>
    </row>
    <row r="72" spans="1:8" x14ac:dyDescent="0.3">
      <c r="A72" t="s">
        <v>261</v>
      </c>
      <c r="B72" s="1">
        <v>152</v>
      </c>
      <c r="C72" s="1" t="s">
        <v>323</v>
      </c>
      <c r="D72" s="1" t="s">
        <v>336</v>
      </c>
      <c r="E72" s="1" t="s">
        <v>568</v>
      </c>
      <c r="F72" s="1" t="str">
        <f t="shared" ref="F72:F92" si="6">IF(LEFT(E72,2)="SP","SP","EX")</f>
        <v>SP</v>
      </c>
      <c r="G72" s="1" t="str">
        <f t="shared" ref="G72:G92" si="7">LEFT(E72,2)</f>
        <v>SP</v>
      </c>
      <c r="H72" s="1" t="str">
        <f t="shared" si="5"/>
        <v>Catanduva</v>
      </c>
    </row>
    <row r="73" spans="1:8" x14ac:dyDescent="0.3">
      <c r="A73" t="s">
        <v>262</v>
      </c>
      <c r="B73" s="1">
        <v>332</v>
      </c>
      <c r="C73" s="1" t="s">
        <v>323</v>
      </c>
      <c r="D73" s="1" t="s">
        <v>336</v>
      </c>
      <c r="E73" s="1" t="s">
        <v>568</v>
      </c>
      <c r="F73" s="1" t="str">
        <f t="shared" si="6"/>
        <v>SP</v>
      </c>
      <c r="G73" s="1" t="str">
        <f t="shared" si="7"/>
        <v>SP</v>
      </c>
      <c r="H73" s="1" t="str">
        <f t="shared" si="5"/>
        <v>Catanduva</v>
      </c>
    </row>
    <row r="74" spans="1:8" x14ac:dyDescent="0.3">
      <c r="A74" t="s">
        <v>263</v>
      </c>
      <c r="B74" s="1">
        <v>416</v>
      </c>
      <c r="C74" s="1" t="s">
        <v>323</v>
      </c>
      <c r="D74" s="1" t="s">
        <v>336</v>
      </c>
      <c r="E74" s="1" t="s">
        <v>568</v>
      </c>
      <c r="F74" s="1" t="str">
        <f t="shared" si="6"/>
        <v>SP</v>
      </c>
      <c r="G74" s="1" t="str">
        <f t="shared" si="7"/>
        <v>SP</v>
      </c>
      <c r="H74" s="1" t="str">
        <f t="shared" si="5"/>
        <v>Catanduva</v>
      </c>
    </row>
    <row r="75" spans="1:8" x14ac:dyDescent="0.3">
      <c r="A75" t="s">
        <v>264</v>
      </c>
      <c r="B75" s="1">
        <v>441</v>
      </c>
      <c r="C75" s="1" t="s">
        <v>323</v>
      </c>
      <c r="D75" s="1" t="s">
        <v>336</v>
      </c>
      <c r="E75" s="1" t="s">
        <v>568</v>
      </c>
      <c r="F75" s="1" t="str">
        <f t="shared" si="6"/>
        <v>SP</v>
      </c>
      <c r="G75" s="1" t="str">
        <f t="shared" si="7"/>
        <v>SP</v>
      </c>
      <c r="H75" s="1" t="str">
        <f t="shared" si="5"/>
        <v>Catanduva</v>
      </c>
    </row>
    <row r="76" spans="1:8" x14ac:dyDescent="0.3">
      <c r="A76" t="s">
        <v>265</v>
      </c>
      <c r="B76" s="1">
        <v>327</v>
      </c>
      <c r="C76" s="1" t="s">
        <v>323</v>
      </c>
      <c r="D76" s="1" t="s">
        <v>336</v>
      </c>
      <c r="E76" s="1" t="s">
        <v>568</v>
      </c>
      <c r="F76" s="1" t="str">
        <f t="shared" si="6"/>
        <v>SP</v>
      </c>
      <c r="G76" s="1" t="str">
        <f t="shared" si="7"/>
        <v>SP</v>
      </c>
      <c r="H76" s="1" t="str">
        <f t="shared" si="5"/>
        <v>Cedral</v>
      </c>
    </row>
    <row r="77" spans="1:8" x14ac:dyDescent="0.3">
      <c r="A77" t="s">
        <v>85</v>
      </c>
      <c r="B77" s="1">
        <v>463</v>
      </c>
      <c r="C77" s="3" t="s">
        <v>324</v>
      </c>
      <c r="D77" s="1" t="s">
        <v>342</v>
      </c>
      <c r="E77" s="1" t="s">
        <v>22</v>
      </c>
      <c r="F77" s="1" t="str">
        <f t="shared" si="6"/>
        <v>EX</v>
      </c>
      <c r="G77" s="1" t="str">
        <f t="shared" si="7"/>
        <v>PR</v>
      </c>
      <c r="H77" s="1" t="str">
        <f t="shared" si="5"/>
        <v>Cianorte</v>
      </c>
    </row>
    <row r="78" spans="1:8" x14ac:dyDescent="0.3">
      <c r="A78" t="s">
        <v>86</v>
      </c>
      <c r="B78" s="1">
        <v>470</v>
      </c>
      <c r="C78" s="3" t="s">
        <v>324</v>
      </c>
      <c r="D78" s="1" t="s">
        <v>342</v>
      </c>
      <c r="E78" s="1" t="s">
        <v>22</v>
      </c>
      <c r="F78" s="1" t="str">
        <f t="shared" si="6"/>
        <v>EX</v>
      </c>
      <c r="G78" s="1" t="str">
        <f t="shared" si="7"/>
        <v>PR</v>
      </c>
      <c r="H78" s="1" t="str">
        <f t="shared" si="5"/>
        <v>Cianorte</v>
      </c>
    </row>
    <row r="79" spans="1:8" x14ac:dyDescent="0.3">
      <c r="A79" t="s">
        <v>87</v>
      </c>
      <c r="B79" s="1">
        <v>471</v>
      </c>
      <c r="C79" s="3" t="s">
        <v>324</v>
      </c>
      <c r="D79" s="1" t="s">
        <v>342</v>
      </c>
      <c r="E79" s="1" t="s">
        <v>22</v>
      </c>
      <c r="F79" s="1" t="str">
        <f t="shared" si="6"/>
        <v>EX</v>
      </c>
      <c r="G79" s="1" t="str">
        <f t="shared" si="7"/>
        <v>PR</v>
      </c>
      <c r="H79" s="1" t="str">
        <f t="shared" si="5"/>
        <v>Cianorte</v>
      </c>
    </row>
    <row r="80" spans="1:8" x14ac:dyDescent="0.3">
      <c r="A80" t="s">
        <v>88</v>
      </c>
      <c r="B80" s="1">
        <v>472</v>
      </c>
      <c r="C80" s="3" t="s">
        <v>324</v>
      </c>
      <c r="D80" s="1" t="s">
        <v>342</v>
      </c>
      <c r="E80" s="1" t="s">
        <v>22</v>
      </c>
      <c r="F80" s="1" t="str">
        <f t="shared" si="6"/>
        <v>EX</v>
      </c>
      <c r="G80" s="1" t="str">
        <f t="shared" si="7"/>
        <v>PR</v>
      </c>
      <c r="H80" s="1" t="str">
        <f t="shared" si="5"/>
        <v>Cianorte</v>
      </c>
    </row>
    <row r="81" spans="1:8" x14ac:dyDescent="0.3">
      <c r="A81" t="s">
        <v>266</v>
      </c>
      <c r="B81" s="1">
        <v>349</v>
      </c>
      <c r="C81" s="3" t="s">
        <v>324</v>
      </c>
      <c r="D81" s="1" t="s">
        <v>342</v>
      </c>
      <c r="E81" s="1" t="s">
        <v>22</v>
      </c>
      <c r="F81" s="1" t="str">
        <f t="shared" si="6"/>
        <v>EX</v>
      </c>
      <c r="G81" s="1" t="str">
        <f t="shared" si="7"/>
        <v>PR</v>
      </c>
      <c r="H81" s="1" t="str">
        <f t="shared" si="5"/>
        <v>Cianorte</v>
      </c>
    </row>
    <row r="82" spans="1:8" x14ac:dyDescent="0.3">
      <c r="A82" t="s">
        <v>90</v>
      </c>
      <c r="B82" s="1">
        <v>341</v>
      </c>
      <c r="C82" s="3" t="s">
        <v>325</v>
      </c>
      <c r="D82" s="1" t="s">
        <v>343</v>
      </c>
      <c r="E82" s="1" t="s">
        <v>567</v>
      </c>
      <c r="F82" s="1" t="str">
        <f t="shared" si="6"/>
        <v>EX</v>
      </c>
      <c r="G82" s="1" t="str">
        <f t="shared" si="7"/>
        <v>MT</v>
      </c>
      <c r="H82" s="1" t="str">
        <f t="shared" si="5"/>
        <v>Cuiabá</v>
      </c>
    </row>
    <row r="83" spans="1:8" x14ac:dyDescent="0.3">
      <c r="A83" t="s">
        <v>91</v>
      </c>
      <c r="B83" s="1">
        <v>342</v>
      </c>
      <c r="C83" s="3" t="s">
        <v>325</v>
      </c>
      <c r="D83" s="1" t="s">
        <v>343</v>
      </c>
      <c r="E83" s="1" t="s">
        <v>567</v>
      </c>
      <c r="F83" s="1" t="str">
        <f t="shared" si="6"/>
        <v>EX</v>
      </c>
      <c r="G83" s="1" t="str">
        <f t="shared" si="7"/>
        <v>MT</v>
      </c>
      <c r="H83" s="1" t="str">
        <f t="shared" si="5"/>
        <v>Cuiabá</v>
      </c>
    </row>
    <row r="84" spans="1:8" x14ac:dyDescent="0.3">
      <c r="A84" t="s">
        <v>92</v>
      </c>
      <c r="B84" s="1">
        <v>343</v>
      </c>
      <c r="C84" s="3" t="s">
        <v>325</v>
      </c>
      <c r="D84" s="1" t="s">
        <v>343</v>
      </c>
      <c r="E84" s="1" t="s">
        <v>567</v>
      </c>
      <c r="F84" s="1" t="str">
        <f t="shared" si="6"/>
        <v>EX</v>
      </c>
      <c r="G84" s="1" t="str">
        <f t="shared" si="7"/>
        <v>MT</v>
      </c>
      <c r="H84" s="1" t="str">
        <f t="shared" si="5"/>
        <v>Cuiabá</v>
      </c>
    </row>
    <row r="85" spans="1:8" x14ac:dyDescent="0.3">
      <c r="A85" t="s">
        <v>89</v>
      </c>
      <c r="B85" s="1">
        <v>340</v>
      </c>
      <c r="C85" s="3" t="s">
        <v>325</v>
      </c>
      <c r="D85" s="1" t="s">
        <v>343</v>
      </c>
      <c r="E85" s="1" t="s">
        <v>567</v>
      </c>
      <c r="F85" s="1" t="str">
        <f t="shared" si="6"/>
        <v>EX</v>
      </c>
      <c r="G85" s="1" t="str">
        <f t="shared" si="7"/>
        <v>MT</v>
      </c>
      <c r="H85" s="1" t="str">
        <f t="shared" si="5"/>
        <v>Cuiabá</v>
      </c>
    </row>
    <row r="86" spans="1:8" x14ac:dyDescent="0.3">
      <c r="A86" t="s">
        <v>93</v>
      </c>
      <c r="B86" s="1">
        <v>483</v>
      </c>
      <c r="C86" s="3" t="s">
        <v>325</v>
      </c>
      <c r="D86" s="1" t="s">
        <v>343</v>
      </c>
      <c r="E86" s="1" t="s">
        <v>567</v>
      </c>
      <c r="F86" s="1" t="str">
        <f t="shared" si="6"/>
        <v>EX</v>
      </c>
      <c r="G86" s="1" t="str">
        <f t="shared" si="7"/>
        <v>MT</v>
      </c>
      <c r="H86" s="1" t="str">
        <f t="shared" si="5"/>
        <v>Cuiabá</v>
      </c>
    </row>
    <row r="87" spans="1:8" x14ac:dyDescent="0.3">
      <c r="A87" t="s">
        <v>94</v>
      </c>
      <c r="B87" s="1">
        <v>484</v>
      </c>
      <c r="C87" s="3" t="s">
        <v>325</v>
      </c>
      <c r="D87" s="1" t="s">
        <v>343</v>
      </c>
      <c r="E87" s="1" t="s">
        <v>567</v>
      </c>
      <c r="F87" s="1" t="str">
        <f t="shared" si="6"/>
        <v>EX</v>
      </c>
      <c r="G87" s="1" t="str">
        <f t="shared" si="7"/>
        <v>MT</v>
      </c>
      <c r="H87" s="1" t="str">
        <f t="shared" si="5"/>
        <v>Cuiabá</v>
      </c>
    </row>
    <row r="88" spans="1:8" x14ac:dyDescent="0.3">
      <c r="A88" t="s">
        <v>95</v>
      </c>
      <c r="B88" s="1">
        <v>361</v>
      </c>
      <c r="C88" s="3" t="s">
        <v>325</v>
      </c>
      <c r="D88" s="1" t="s">
        <v>343</v>
      </c>
      <c r="E88" s="1" t="s">
        <v>567</v>
      </c>
      <c r="F88" s="1" t="str">
        <f t="shared" si="6"/>
        <v>EX</v>
      </c>
      <c r="G88" s="1" t="str">
        <f t="shared" si="7"/>
        <v>MT</v>
      </c>
      <c r="H88" s="1" t="str">
        <f t="shared" si="5"/>
        <v>Cuiabá</v>
      </c>
    </row>
    <row r="89" spans="1:8" x14ac:dyDescent="0.3">
      <c r="A89" t="s">
        <v>96</v>
      </c>
      <c r="B89" s="1">
        <v>362</v>
      </c>
      <c r="C89" s="3" t="s">
        <v>325</v>
      </c>
      <c r="D89" s="1" t="s">
        <v>343</v>
      </c>
      <c r="E89" s="1" t="s">
        <v>567</v>
      </c>
      <c r="F89" s="1" t="str">
        <f t="shared" si="6"/>
        <v>EX</v>
      </c>
      <c r="G89" s="1" t="str">
        <f t="shared" si="7"/>
        <v>MT</v>
      </c>
      <c r="H89" s="1" t="str">
        <f t="shared" si="5"/>
        <v>Cuiabá</v>
      </c>
    </row>
    <row r="90" spans="1:8" x14ac:dyDescent="0.3">
      <c r="A90" t="s">
        <v>97</v>
      </c>
      <c r="B90" s="1">
        <v>363</v>
      </c>
      <c r="C90" s="3" t="s">
        <v>325</v>
      </c>
      <c r="D90" s="1" t="s">
        <v>343</v>
      </c>
      <c r="E90" s="1" t="s">
        <v>567</v>
      </c>
      <c r="F90" s="1" t="str">
        <f t="shared" si="6"/>
        <v>EX</v>
      </c>
      <c r="G90" s="1" t="str">
        <f t="shared" si="7"/>
        <v>MT</v>
      </c>
      <c r="H90" s="1" t="str">
        <f t="shared" si="5"/>
        <v>Cuiabá</v>
      </c>
    </row>
    <row r="91" spans="1:8" x14ac:dyDescent="0.3">
      <c r="A91" s="7" t="s">
        <v>543</v>
      </c>
      <c r="B91" s="1">
        <v>615</v>
      </c>
      <c r="C91" s="3" t="s">
        <v>325</v>
      </c>
      <c r="D91" s="1" t="s">
        <v>343</v>
      </c>
      <c r="E91" s="1" t="s">
        <v>567</v>
      </c>
      <c r="F91" s="1" t="str">
        <f t="shared" si="6"/>
        <v>EX</v>
      </c>
      <c r="G91" s="1" t="str">
        <f t="shared" si="7"/>
        <v>MT</v>
      </c>
      <c r="H91"/>
    </row>
    <row r="92" spans="1:8" x14ac:dyDescent="0.3">
      <c r="A92" t="s">
        <v>98</v>
      </c>
      <c r="B92" s="1">
        <v>558</v>
      </c>
      <c r="C92" s="1" t="s">
        <v>323</v>
      </c>
      <c r="D92" s="1" t="s">
        <v>336</v>
      </c>
      <c r="E92" s="1" t="s">
        <v>568</v>
      </c>
      <c r="F92" s="1" t="str">
        <f t="shared" si="6"/>
        <v>SP</v>
      </c>
      <c r="G92" s="1" t="str">
        <f t="shared" si="7"/>
        <v>SP</v>
      </c>
      <c r="H92" s="1" t="str">
        <f>LEFT(A92,FIND(" (",A92)-1)</f>
        <v>Estrela d'Oeste</v>
      </c>
    </row>
    <row r="93" spans="1:8" x14ac:dyDescent="0.3">
      <c r="A93" s="7" t="s">
        <v>549</v>
      </c>
      <c r="B93" s="1">
        <v>251</v>
      </c>
      <c r="E93" s="1" t="s">
        <v>566</v>
      </c>
      <c r="F93"/>
      <c r="G93"/>
      <c r="H93"/>
    </row>
    <row r="94" spans="1:8" x14ac:dyDescent="0.3">
      <c r="A94" s="7" t="s">
        <v>557</v>
      </c>
      <c r="B94" s="1">
        <v>252</v>
      </c>
      <c r="E94" s="1" t="s">
        <v>566</v>
      </c>
      <c r="F94"/>
      <c r="G94"/>
      <c r="H94"/>
    </row>
    <row r="95" spans="1:8" x14ac:dyDescent="0.3">
      <c r="A95" s="7" t="s">
        <v>556</v>
      </c>
      <c r="B95" s="1">
        <v>253</v>
      </c>
      <c r="E95" s="1" t="s">
        <v>566</v>
      </c>
      <c r="F95"/>
      <c r="G95"/>
      <c r="H95"/>
    </row>
    <row r="96" spans="1:8" x14ac:dyDescent="0.3">
      <c r="A96" s="7" t="s">
        <v>553</v>
      </c>
      <c r="B96" s="1">
        <v>254</v>
      </c>
      <c r="E96" s="1" t="s">
        <v>566</v>
      </c>
      <c r="F96"/>
      <c r="G96"/>
      <c r="H96"/>
    </row>
    <row r="97" spans="1:8" x14ac:dyDescent="0.3">
      <c r="A97" s="7" t="s">
        <v>550</v>
      </c>
      <c r="B97" s="1">
        <v>255</v>
      </c>
      <c r="E97" s="1" t="s">
        <v>566</v>
      </c>
      <c r="F97"/>
      <c r="G97"/>
      <c r="H97"/>
    </row>
    <row r="98" spans="1:8" x14ac:dyDescent="0.3">
      <c r="A98" s="7" t="s">
        <v>548</v>
      </c>
      <c r="B98" s="1">
        <v>256</v>
      </c>
      <c r="E98" s="1" t="s">
        <v>566</v>
      </c>
      <c r="F98"/>
      <c r="G98"/>
      <c r="H98"/>
    </row>
    <row r="99" spans="1:8" x14ac:dyDescent="0.3">
      <c r="A99" s="7" t="s">
        <v>552</v>
      </c>
      <c r="B99" s="1">
        <v>257</v>
      </c>
      <c r="E99" s="1" t="s">
        <v>566</v>
      </c>
      <c r="F99"/>
      <c r="G99"/>
      <c r="H99"/>
    </row>
    <row r="100" spans="1:8" x14ac:dyDescent="0.3">
      <c r="A100" t="s">
        <v>99</v>
      </c>
      <c r="B100" s="1">
        <v>359</v>
      </c>
      <c r="C100" s="1" t="s">
        <v>322</v>
      </c>
      <c r="D100" s="1" t="s">
        <v>338</v>
      </c>
      <c r="E100" s="1" t="s">
        <v>570</v>
      </c>
      <c r="F100" s="1" t="str">
        <f t="shared" ref="F100:F133" si="8">IF(LEFT(E100,2)="SP","SP","EX")</f>
        <v>SP</v>
      </c>
      <c r="G100" s="1" t="str">
        <f t="shared" ref="G100:G133" si="9">LEFT(E100,2)</f>
        <v>SP</v>
      </c>
      <c r="H100" s="1" t="str">
        <f t="shared" ref="H100:H117" si="10">LEFT(A100,FIND(" (",A100)-1)</f>
        <v>Itapetininga</v>
      </c>
    </row>
    <row r="101" spans="1:8" x14ac:dyDescent="0.3">
      <c r="A101" t="s">
        <v>100</v>
      </c>
      <c r="B101" s="1">
        <v>376</v>
      </c>
      <c r="C101" s="1" t="s">
        <v>322</v>
      </c>
      <c r="D101" s="1" t="s">
        <v>338</v>
      </c>
      <c r="E101" s="1" t="s">
        <v>570</v>
      </c>
      <c r="F101" s="1" t="str">
        <f t="shared" si="8"/>
        <v>SP</v>
      </c>
      <c r="G101" s="1" t="str">
        <f t="shared" si="9"/>
        <v>SP</v>
      </c>
      <c r="H101" s="1" t="str">
        <f t="shared" si="10"/>
        <v>Itapetininga</v>
      </c>
    </row>
    <row r="102" spans="1:8" x14ac:dyDescent="0.3">
      <c r="A102" t="s">
        <v>267</v>
      </c>
      <c r="B102" s="1">
        <v>443</v>
      </c>
      <c r="C102" s="1" t="s">
        <v>322</v>
      </c>
      <c r="D102" s="1" t="s">
        <v>338</v>
      </c>
      <c r="E102" s="1" t="s">
        <v>570</v>
      </c>
      <c r="F102" s="1" t="str">
        <f t="shared" si="8"/>
        <v>SP</v>
      </c>
      <c r="G102" s="1" t="str">
        <f t="shared" si="9"/>
        <v>SP</v>
      </c>
      <c r="H102" s="1" t="str">
        <f t="shared" si="10"/>
        <v>Itapetininga</v>
      </c>
    </row>
    <row r="103" spans="1:8" x14ac:dyDescent="0.3">
      <c r="A103" t="s">
        <v>268</v>
      </c>
      <c r="B103" s="1">
        <v>310</v>
      </c>
      <c r="C103" s="1" t="s">
        <v>322</v>
      </c>
      <c r="D103" s="1" t="s">
        <v>338</v>
      </c>
      <c r="E103" s="1" t="s">
        <v>570</v>
      </c>
      <c r="F103" s="1" t="str">
        <f t="shared" si="8"/>
        <v>SP</v>
      </c>
      <c r="G103" s="1" t="str">
        <f t="shared" si="9"/>
        <v>SP</v>
      </c>
      <c r="H103" s="1" t="str">
        <f t="shared" si="10"/>
        <v>Itapetininga</v>
      </c>
    </row>
    <row r="104" spans="1:8" x14ac:dyDescent="0.3">
      <c r="A104" t="s">
        <v>269</v>
      </c>
      <c r="B104" s="1">
        <v>334</v>
      </c>
      <c r="C104" s="1" t="s">
        <v>322</v>
      </c>
      <c r="D104" s="1" t="s">
        <v>338</v>
      </c>
      <c r="E104" s="1" t="s">
        <v>570</v>
      </c>
      <c r="F104" s="1" t="str">
        <f t="shared" si="8"/>
        <v>SP</v>
      </c>
      <c r="G104" s="1" t="str">
        <f t="shared" si="9"/>
        <v>SP</v>
      </c>
      <c r="H104" s="1" t="str">
        <f t="shared" si="10"/>
        <v>Itapetininga</v>
      </c>
    </row>
    <row r="105" spans="1:8" x14ac:dyDescent="0.3">
      <c r="A105" t="s">
        <v>101</v>
      </c>
      <c r="B105" s="1">
        <v>446</v>
      </c>
      <c r="C105" s="1" t="s">
        <v>322</v>
      </c>
      <c r="D105" s="1" t="s">
        <v>338</v>
      </c>
      <c r="E105" s="1" t="s">
        <v>570</v>
      </c>
      <c r="F105" s="1" t="str">
        <f t="shared" si="8"/>
        <v>SP</v>
      </c>
      <c r="G105" s="1" t="str">
        <f t="shared" si="9"/>
        <v>SP</v>
      </c>
      <c r="H105" s="1" t="str">
        <f t="shared" si="10"/>
        <v>Itapetininga</v>
      </c>
    </row>
    <row r="106" spans="1:8" x14ac:dyDescent="0.3">
      <c r="A106" t="s">
        <v>270</v>
      </c>
      <c r="B106" s="1">
        <v>261</v>
      </c>
      <c r="C106" s="1" t="s">
        <v>322</v>
      </c>
      <c r="D106" s="1" t="s">
        <v>338</v>
      </c>
      <c r="E106" s="1" t="s">
        <v>570</v>
      </c>
      <c r="F106" s="1" t="str">
        <f t="shared" si="8"/>
        <v>SP</v>
      </c>
      <c r="G106" s="1" t="str">
        <f t="shared" si="9"/>
        <v>SP</v>
      </c>
      <c r="H106" s="1" t="str">
        <f t="shared" si="10"/>
        <v>Itapetininga</v>
      </c>
    </row>
    <row r="107" spans="1:8" x14ac:dyDescent="0.3">
      <c r="A107" t="s">
        <v>102</v>
      </c>
      <c r="B107" s="1">
        <v>409</v>
      </c>
      <c r="C107" s="1" t="s">
        <v>322</v>
      </c>
      <c r="D107" s="1" t="s">
        <v>338</v>
      </c>
      <c r="E107" s="1" t="s">
        <v>570</v>
      </c>
      <c r="F107" s="1" t="str">
        <f t="shared" si="8"/>
        <v>SP</v>
      </c>
      <c r="G107" s="1" t="str">
        <f t="shared" si="9"/>
        <v>SP</v>
      </c>
      <c r="H107" s="1" t="str">
        <f t="shared" si="10"/>
        <v>Itapetininga</v>
      </c>
    </row>
    <row r="108" spans="1:8" x14ac:dyDescent="0.3">
      <c r="A108" t="s">
        <v>103</v>
      </c>
      <c r="B108" s="1">
        <v>433</v>
      </c>
      <c r="C108" s="1" t="s">
        <v>322</v>
      </c>
      <c r="D108" s="1" t="s">
        <v>338</v>
      </c>
      <c r="E108" s="1" t="s">
        <v>570</v>
      </c>
      <c r="F108" s="1" t="str">
        <f t="shared" si="8"/>
        <v>SP</v>
      </c>
      <c r="G108" s="1" t="str">
        <f t="shared" si="9"/>
        <v>SP</v>
      </c>
      <c r="H108" s="1" t="str">
        <f t="shared" si="10"/>
        <v>Itapetininga</v>
      </c>
    </row>
    <row r="109" spans="1:8" x14ac:dyDescent="0.3">
      <c r="A109" t="s">
        <v>271</v>
      </c>
      <c r="B109" s="1">
        <v>422</v>
      </c>
      <c r="C109" s="1" t="s">
        <v>44</v>
      </c>
      <c r="D109" s="1" t="s">
        <v>336</v>
      </c>
      <c r="E109" s="1" t="s">
        <v>25</v>
      </c>
      <c r="F109" s="1" t="str">
        <f t="shared" si="8"/>
        <v>EX</v>
      </c>
      <c r="G109" s="1" t="str">
        <f t="shared" si="9"/>
        <v>MG</v>
      </c>
      <c r="H109" s="1" t="str">
        <f t="shared" si="10"/>
        <v>Ituiutaba</v>
      </c>
    </row>
    <row r="110" spans="1:8" x14ac:dyDescent="0.3">
      <c r="A110" t="s">
        <v>104</v>
      </c>
      <c r="B110" s="1">
        <v>442</v>
      </c>
      <c r="C110" s="1" t="s">
        <v>44</v>
      </c>
      <c r="D110" s="1" t="s">
        <v>336</v>
      </c>
      <c r="E110" s="1" t="s">
        <v>25</v>
      </c>
      <c r="F110" s="1" t="str">
        <f t="shared" si="8"/>
        <v>EX</v>
      </c>
      <c r="G110" s="1" t="str">
        <f t="shared" si="9"/>
        <v>MG</v>
      </c>
      <c r="H110" s="1" t="str">
        <f t="shared" si="10"/>
        <v>Ituiutaba</v>
      </c>
    </row>
    <row r="111" spans="1:8" x14ac:dyDescent="0.3">
      <c r="A111" t="s">
        <v>105</v>
      </c>
      <c r="B111" s="1">
        <v>610</v>
      </c>
      <c r="C111" s="1" t="s">
        <v>322</v>
      </c>
      <c r="D111" s="1" t="s">
        <v>339</v>
      </c>
      <c r="E111" s="1" t="s">
        <v>566</v>
      </c>
      <c r="F111" s="1" t="str">
        <f t="shared" si="8"/>
        <v>SP</v>
      </c>
      <c r="G111" s="1" t="str">
        <f t="shared" si="9"/>
        <v>SP</v>
      </c>
      <c r="H111" s="1" t="str">
        <f t="shared" si="10"/>
        <v>Jaú</v>
      </c>
    </row>
    <row r="112" spans="1:8" x14ac:dyDescent="0.3">
      <c r="A112" t="s">
        <v>106</v>
      </c>
      <c r="B112" s="1">
        <v>611</v>
      </c>
      <c r="C112" s="1" t="s">
        <v>322</v>
      </c>
      <c r="D112" s="1" t="s">
        <v>339</v>
      </c>
      <c r="E112" s="1" t="s">
        <v>566</v>
      </c>
      <c r="F112" s="1" t="str">
        <f t="shared" si="8"/>
        <v>SP</v>
      </c>
      <c r="G112" s="1" t="str">
        <f t="shared" si="9"/>
        <v>SP</v>
      </c>
      <c r="H112" s="1" t="str">
        <f t="shared" si="10"/>
        <v>Jaú</v>
      </c>
    </row>
    <row r="113" spans="1:8" x14ac:dyDescent="0.3">
      <c r="A113" t="s">
        <v>107</v>
      </c>
      <c r="B113" s="1">
        <v>612</v>
      </c>
      <c r="C113" s="1" t="s">
        <v>322</v>
      </c>
      <c r="D113" s="1" t="s">
        <v>339</v>
      </c>
      <c r="E113" s="1" t="s">
        <v>566</v>
      </c>
      <c r="F113" s="1" t="str">
        <f t="shared" si="8"/>
        <v>SP</v>
      </c>
      <c r="G113" s="1" t="str">
        <f t="shared" si="9"/>
        <v>SP</v>
      </c>
      <c r="H113" s="1" t="str">
        <f t="shared" si="10"/>
        <v>Jaú</v>
      </c>
    </row>
    <row r="114" spans="1:8" x14ac:dyDescent="0.3">
      <c r="A114" t="s">
        <v>108</v>
      </c>
      <c r="B114" s="1">
        <v>385</v>
      </c>
      <c r="C114" s="1" t="s">
        <v>322</v>
      </c>
      <c r="D114" s="1" t="s">
        <v>337</v>
      </c>
      <c r="E114" s="1" t="s">
        <v>566</v>
      </c>
      <c r="F114" s="1" t="str">
        <f t="shared" si="8"/>
        <v>SP</v>
      </c>
      <c r="G114" s="1" t="str">
        <f t="shared" si="9"/>
        <v>SP</v>
      </c>
      <c r="H114" s="1" t="str">
        <f t="shared" si="10"/>
        <v>Leme</v>
      </c>
    </row>
    <row r="115" spans="1:8" x14ac:dyDescent="0.3">
      <c r="A115" t="s">
        <v>109</v>
      </c>
      <c r="B115" s="1">
        <v>600</v>
      </c>
      <c r="C115" s="1" t="s">
        <v>322</v>
      </c>
      <c r="D115" s="1" t="s">
        <v>337</v>
      </c>
      <c r="E115" s="1" t="s">
        <v>566</v>
      </c>
      <c r="F115" s="1" t="str">
        <f t="shared" si="8"/>
        <v>SP</v>
      </c>
      <c r="G115" s="1" t="str">
        <f t="shared" si="9"/>
        <v>SP</v>
      </c>
      <c r="H115" s="1" t="str">
        <f t="shared" si="10"/>
        <v>Leme</v>
      </c>
    </row>
    <row r="116" spans="1:8" x14ac:dyDescent="0.3">
      <c r="A116" t="s">
        <v>272</v>
      </c>
      <c r="B116" s="1">
        <v>191</v>
      </c>
      <c r="C116" s="1" t="s">
        <v>323</v>
      </c>
      <c r="D116" s="1" t="s">
        <v>340</v>
      </c>
      <c r="E116" s="1" t="s">
        <v>568</v>
      </c>
      <c r="F116" s="1" t="str">
        <f t="shared" si="8"/>
        <v>SP</v>
      </c>
      <c r="G116" s="1" t="str">
        <f t="shared" si="9"/>
        <v>SP</v>
      </c>
      <c r="H116" s="1" t="str">
        <f t="shared" si="10"/>
        <v>Lins</v>
      </c>
    </row>
    <row r="117" spans="1:8" x14ac:dyDescent="0.3">
      <c r="A117" t="s">
        <v>273</v>
      </c>
      <c r="B117" s="1">
        <v>389</v>
      </c>
      <c r="C117" s="1" t="s">
        <v>323</v>
      </c>
      <c r="D117" s="1" t="s">
        <v>340</v>
      </c>
      <c r="E117" s="1" t="s">
        <v>569</v>
      </c>
      <c r="F117" s="1" t="str">
        <f t="shared" si="8"/>
        <v>SP</v>
      </c>
      <c r="G117" s="1" t="str">
        <f t="shared" si="9"/>
        <v>SP</v>
      </c>
      <c r="H117" s="1" t="str">
        <f t="shared" si="10"/>
        <v>Lins</v>
      </c>
    </row>
    <row r="118" spans="1:8" x14ac:dyDescent="0.3">
      <c r="A118" t="s">
        <v>274</v>
      </c>
      <c r="B118" s="1">
        <v>270</v>
      </c>
      <c r="C118" s="1" t="s">
        <v>323</v>
      </c>
      <c r="D118" s="1" t="s">
        <v>340</v>
      </c>
      <c r="E118" s="1" t="s">
        <v>569</v>
      </c>
      <c r="F118" s="1" t="str">
        <f t="shared" si="8"/>
        <v>SP</v>
      </c>
      <c r="G118" s="1" t="str">
        <f t="shared" si="9"/>
        <v>SP</v>
      </c>
      <c r="H118" s="1" t="s">
        <v>326</v>
      </c>
    </row>
    <row r="119" spans="1:8" x14ac:dyDescent="0.3">
      <c r="A119" t="s">
        <v>110</v>
      </c>
      <c r="B119" s="1">
        <v>417</v>
      </c>
      <c r="C119" s="1" t="s">
        <v>323</v>
      </c>
      <c r="D119" s="1" t="s">
        <v>340</v>
      </c>
      <c r="E119" s="1" t="s">
        <v>569</v>
      </c>
      <c r="F119" s="1" t="str">
        <f t="shared" si="8"/>
        <v>SP</v>
      </c>
      <c r="G119" s="1" t="str">
        <f t="shared" si="9"/>
        <v>SP</v>
      </c>
      <c r="H119" s="1" t="s">
        <v>326</v>
      </c>
    </row>
    <row r="120" spans="1:8" x14ac:dyDescent="0.3">
      <c r="A120" s="7" t="s">
        <v>545</v>
      </c>
      <c r="B120" s="1">
        <v>188</v>
      </c>
      <c r="C120" s="1" t="s">
        <v>323</v>
      </c>
      <c r="D120" s="1" t="s">
        <v>340</v>
      </c>
      <c r="E120" s="1" t="s">
        <v>569</v>
      </c>
      <c r="F120" s="1" t="str">
        <f t="shared" si="8"/>
        <v>SP</v>
      </c>
      <c r="G120" s="1" t="str">
        <f t="shared" si="9"/>
        <v>SP</v>
      </c>
      <c r="H120" s="1" t="s">
        <v>326</v>
      </c>
    </row>
    <row r="121" spans="1:8" x14ac:dyDescent="0.3">
      <c r="A121" s="7" t="s">
        <v>565</v>
      </c>
      <c r="B121" s="1">
        <v>599</v>
      </c>
      <c r="C121" s="3" t="s">
        <v>324</v>
      </c>
      <c r="D121" s="1" t="s">
        <v>342</v>
      </c>
      <c r="E121" s="1" t="s">
        <v>22</v>
      </c>
      <c r="F121" s="1" t="str">
        <f t="shared" si="8"/>
        <v>EX</v>
      </c>
      <c r="G121" s="1" t="str">
        <f t="shared" si="9"/>
        <v>PR</v>
      </c>
      <c r="H121" s="1" t="str">
        <f t="shared" ref="H121:H123" si="11">LEFT(A121,FIND(" (",A121)-1)</f>
        <v>Londrina</v>
      </c>
    </row>
    <row r="122" spans="1:8" x14ac:dyDescent="0.3">
      <c r="A122" s="7" t="s">
        <v>583</v>
      </c>
      <c r="B122" s="1">
        <v>619</v>
      </c>
      <c r="C122" s="3"/>
      <c r="E122" s="1" t="s">
        <v>22</v>
      </c>
      <c r="H122" s="1" t="str">
        <f t="shared" si="11"/>
        <v>Londrina</v>
      </c>
    </row>
    <row r="123" spans="1:8" x14ac:dyDescent="0.3">
      <c r="A123" s="7" t="s">
        <v>584</v>
      </c>
      <c r="B123" s="1">
        <v>620</v>
      </c>
      <c r="C123" s="3"/>
      <c r="E123" s="1" t="s">
        <v>22</v>
      </c>
      <c r="H123" s="1" t="str">
        <f t="shared" si="11"/>
        <v>Londrina</v>
      </c>
    </row>
    <row r="124" spans="1:8" x14ac:dyDescent="0.3">
      <c r="A124" t="s">
        <v>111</v>
      </c>
      <c r="B124" s="1">
        <v>324</v>
      </c>
      <c r="C124" s="3" t="s">
        <v>324</v>
      </c>
      <c r="D124" s="1" t="s">
        <v>342</v>
      </c>
      <c r="E124" s="1" t="s">
        <v>22</v>
      </c>
      <c r="F124" s="1" t="str">
        <f t="shared" si="8"/>
        <v>EX</v>
      </c>
      <c r="G124" s="1" t="str">
        <f t="shared" si="9"/>
        <v>PR</v>
      </c>
      <c r="H124" s="1" t="str">
        <f t="shared" ref="H124:H145" si="12">LEFT(A124,FIND(" (",A124)-1)</f>
        <v>Londrina</v>
      </c>
    </row>
    <row r="125" spans="1:8" x14ac:dyDescent="0.3">
      <c r="A125" t="s">
        <v>112</v>
      </c>
      <c r="B125" s="1">
        <v>396</v>
      </c>
      <c r="C125" s="3" t="s">
        <v>324</v>
      </c>
      <c r="D125" s="1" t="s">
        <v>342</v>
      </c>
      <c r="E125" s="1" t="s">
        <v>22</v>
      </c>
      <c r="F125" s="1" t="str">
        <f t="shared" si="8"/>
        <v>EX</v>
      </c>
      <c r="G125" s="1" t="str">
        <f t="shared" si="9"/>
        <v>PR</v>
      </c>
      <c r="H125" s="1" t="str">
        <f t="shared" si="12"/>
        <v>Londrina</v>
      </c>
    </row>
    <row r="126" spans="1:8" x14ac:dyDescent="0.3">
      <c r="A126" t="s">
        <v>113</v>
      </c>
      <c r="B126" s="1">
        <v>323</v>
      </c>
      <c r="C126" s="3" t="s">
        <v>324</v>
      </c>
      <c r="D126" s="1" t="s">
        <v>342</v>
      </c>
      <c r="E126" s="1" t="s">
        <v>22</v>
      </c>
      <c r="F126" s="1" t="str">
        <f t="shared" si="8"/>
        <v>EX</v>
      </c>
      <c r="G126" s="1" t="str">
        <f t="shared" si="9"/>
        <v>PR</v>
      </c>
      <c r="H126" s="1" t="str">
        <f t="shared" si="12"/>
        <v>Londrina</v>
      </c>
    </row>
    <row r="127" spans="1:8" x14ac:dyDescent="0.3">
      <c r="A127" t="s">
        <v>275</v>
      </c>
      <c r="B127" s="1">
        <v>294</v>
      </c>
      <c r="C127" s="3" t="s">
        <v>324</v>
      </c>
      <c r="D127" s="1" t="s">
        <v>342</v>
      </c>
      <c r="E127" s="1" t="s">
        <v>22</v>
      </c>
      <c r="F127" s="1" t="str">
        <f t="shared" si="8"/>
        <v>EX</v>
      </c>
      <c r="G127" s="1" t="str">
        <f t="shared" si="9"/>
        <v>PR</v>
      </c>
      <c r="H127" s="1" t="str">
        <f t="shared" si="12"/>
        <v>Londrina</v>
      </c>
    </row>
    <row r="128" spans="1:8" x14ac:dyDescent="0.3">
      <c r="A128" t="s">
        <v>114</v>
      </c>
      <c r="B128" s="1">
        <v>526</v>
      </c>
      <c r="C128" s="3" t="s">
        <v>324</v>
      </c>
      <c r="D128" s="1" t="s">
        <v>342</v>
      </c>
      <c r="E128" s="1" t="s">
        <v>22</v>
      </c>
      <c r="F128" s="1" t="str">
        <f t="shared" si="8"/>
        <v>EX</v>
      </c>
      <c r="G128" s="1" t="str">
        <f t="shared" si="9"/>
        <v>PR</v>
      </c>
      <c r="H128" s="1" t="str">
        <f t="shared" si="12"/>
        <v>Londrina</v>
      </c>
    </row>
    <row r="129" spans="1:8" x14ac:dyDescent="0.3">
      <c r="A129" t="s">
        <v>115</v>
      </c>
      <c r="B129" s="1">
        <v>527</v>
      </c>
      <c r="C129" s="3" t="s">
        <v>324</v>
      </c>
      <c r="D129" s="1" t="s">
        <v>342</v>
      </c>
      <c r="E129" s="1" t="s">
        <v>22</v>
      </c>
      <c r="F129" s="1" t="str">
        <f t="shared" si="8"/>
        <v>EX</v>
      </c>
      <c r="G129" s="1" t="str">
        <f t="shared" si="9"/>
        <v>PR</v>
      </c>
      <c r="H129" s="1" t="str">
        <f t="shared" si="12"/>
        <v>Londrina</v>
      </c>
    </row>
    <row r="130" spans="1:8" x14ac:dyDescent="0.3">
      <c r="A130" t="s">
        <v>116</v>
      </c>
      <c r="B130" s="1">
        <v>452</v>
      </c>
      <c r="C130" s="3" t="s">
        <v>325</v>
      </c>
      <c r="D130" s="1" t="s">
        <v>344</v>
      </c>
      <c r="E130" s="1" t="s">
        <v>571</v>
      </c>
      <c r="F130" s="1" t="str">
        <f t="shared" si="8"/>
        <v>EX</v>
      </c>
      <c r="G130" s="1" t="str">
        <f t="shared" si="9"/>
        <v>MT</v>
      </c>
      <c r="H130" s="1" t="str">
        <f t="shared" si="12"/>
        <v>Lucas do Rio Verde</v>
      </c>
    </row>
    <row r="131" spans="1:8" x14ac:dyDescent="0.3">
      <c r="A131" t="s">
        <v>117</v>
      </c>
      <c r="B131" s="1">
        <v>453</v>
      </c>
      <c r="C131" s="3" t="s">
        <v>325</v>
      </c>
      <c r="D131" s="1" t="s">
        <v>344</v>
      </c>
      <c r="E131" s="1" t="s">
        <v>571</v>
      </c>
      <c r="F131" s="1" t="str">
        <f t="shared" si="8"/>
        <v>EX</v>
      </c>
      <c r="G131" s="1" t="str">
        <f t="shared" si="9"/>
        <v>MT</v>
      </c>
      <c r="H131" s="1" t="str">
        <f t="shared" si="12"/>
        <v>Lucas do Rio Verde</v>
      </c>
    </row>
    <row r="132" spans="1:8" x14ac:dyDescent="0.3">
      <c r="A132" t="s">
        <v>276</v>
      </c>
      <c r="B132" s="1">
        <v>379</v>
      </c>
      <c r="C132" s="1" t="s">
        <v>44</v>
      </c>
      <c r="D132" s="1" t="s">
        <v>339</v>
      </c>
      <c r="E132" s="1" t="s">
        <v>569</v>
      </c>
      <c r="F132" s="1" t="str">
        <f t="shared" si="8"/>
        <v>SP</v>
      </c>
      <c r="G132" s="1" t="str">
        <f t="shared" si="9"/>
        <v>SP</v>
      </c>
      <c r="H132" s="1" t="str">
        <f t="shared" si="12"/>
        <v>Marília</v>
      </c>
    </row>
    <row r="133" spans="1:8" x14ac:dyDescent="0.3">
      <c r="A133" t="s">
        <v>118</v>
      </c>
      <c r="B133" s="1">
        <v>222</v>
      </c>
      <c r="C133" s="1" t="s">
        <v>44</v>
      </c>
      <c r="D133" s="1" t="s">
        <v>339</v>
      </c>
      <c r="E133" s="1" t="s">
        <v>569</v>
      </c>
      <c r="F133" s="1" t="str">
        <f t="shared" si="8"/>
        <v>SP</v>
      </c>
      <c r="G133" s="1" t="str">
        <f t="shared" si="9"/>
        <v>SP</v>
      </c>
      <c r="H133" s="1" t="str">
        <f t="shared" si="12"/>
        <v>Marília</v>
      </c>
    </row>
    <row r="134" spans="1:8" x14ac:dyDescent="0.3">
      <c r="A134" t="s">
        <v>119</v>
      </c>
      <c r="B134" s="1">
        <v>421</v>
      </c>
      <c r="C134" s="1" t="s">
        <v>44</v>
      </c>
      <c r="D134" s="1" t="s">
        <v>339</v>
      </c>
      <c r="E134" s="1" t="s">
        <v>569</v>
      </c>
      <c r="F134" s="1" t="str">
        <f t="shared" ref="F134:F165" si="13">IF(LEFT(E134,2)="SP","SP","EX")</f>
        <v>SP</v>
      </c>
      <c r="G134" s="1" t="str">
        <f t="shared" ref="G134:G165" si="14">LEFT(E134,2)</f>
        <v>SP</v>
      </c>
      <c r="H134" s="1" t="str">
        <f t="shared" si="12"/>
        <v>Marília</v>
      </c>
    </row>
    <row r="135" spans="1:8" x14ac:dyDescent="0.3">
      <c r="A135" t="s">
        <v>278</v>
      </c>
      <c r="B135" s="1">
        <v>448</v>
      </c>
      <c r="C135" s="1" t="s">
        <v>44</v>
      </c>
      <c r="D135" s="1" t="s">
        <v>339</v>
      </c>
      <c r="E135" s="1" t="s">
        <v>569</v>
      </c>
      <c r="F135" s="1" t="str">
        <f t="shared" si="13"/>
        <v>SP</v>
      </c>
      <c r="G135" s="1" t="str">
        <f t="shared" si="14"/>
        <v>SP</v>
      </c>
      <c r="H135" s="1" t="str">
        <f t="shared" si="12"/>
        <v>Marília</v>
      </c>
    </row>
    <row r="136" spans="1:8" x14ac:dyDescent="0.3">
      <c r="A136" t="s">
        <v>277</v>
      </c>
      <c r="B136" s="1">
        <v>328</v>
      </c>
      <c r="C136" s="1" t="s">
        <v>44</v>
      </c>
      <c r="D136" s="1" t="s">
        <v>339</v>
      </c>
      <c r="E136" s="1" t="s">
        <v>569</v>
      </c>
      <c r="F136" s="1" t="str">
        <f t="shared" si="13"/>
        <v>SP</v>
      </c>
      <c r="G136" s="1" t="str">
        <f t="shared" si="14"/>
        <v>SP</v>
      </c>
      <c r="H136" s="1" t="str">
        <f t="shared" si="12"/>
        <v>Marília</v>
      </c>
    </row>
    <row r="137" spans="1:8" x14ac:dyDescent="0.3">
      <c r="A137" t="s">
        <v>120</v>
      </c>
      <c r="B137" s="1">
        <v>262</v>
      </c>
      <c r="C137" s="1" t="s">
        <v>44</v>
      </c>
      <c r="D137" s="1" t="s">
        <v>339</v>
      </c>
      <c r="E137" s="1" t="s">
        <v>569</v>
      </c>
      <c r="F137" s="1" t="str">
        <f t="shared" si="13"/>
        <v>SP</v>
      </c>
      <c r="G137" s="1" t="str">
        <f t="shared" si="14"/>
        <v>SP</v>
      </c>
      <c r="H137" s="1" t="str">
        <f t="shared" si="12"/>
        <v>Marília</v>
      </c>
    </row>
    <row r="138" spans="1:8" x14ac:dyDescent="0.3">
      <c r="A138" t="s">
        <v>121</v>
      </c>
      <c r="B138" s="1">
        <v>538</v>
      </c>
      <c r="C138" s="1" t="s">
        <v>44</v>
      </c>
      <c r="D138" s="1" t="s">
        <v>339</v>
      </c>
      <c r="E138" s="1" t="s">
        <v>569</v>
      </c>
      <c r="F138" s="1" t="str">
        <f t="shared" si="13"/>
        <v>SP</v>
      </c>
      <c r="G138" s="1" t="str">
        <f t="shared" si="14"/>
        <v>SP</v>
      </c>
      <c r="H138" s="1" t="str">
        <f t="shared" si="12"/>
        <v>Marília</v>
      </c>
    </row>
    <row r="139" spans="1:8" x14ac:dyDescent="0.3">
      <c r="A139" t="s">
        <v>122</v>
      </c>
      <c r="B139" s="1">
        <v>189</v>
      </c>
      <c r="C139" s="1" t="s">
        <v>44</v>
      </c>
      <c r="D139" s="1" t="s">
        <v>339</v>
      </c>
      <c r="E139" s="1" t="s">
        <v>569</v>
      </c>
      <c r="F139" s="1" t="str">
        <f t="shared" si="13"/>
        <v>SP</v>
      </c>
      <c r="G139" s="1" t="str">
        <f t="shared" si="14"/>
        <v>SP</v>
      </c>
      <c r="H139" s="1" t="str">
        <f t="shared" si="12"/>
        <v>Marília</v>
      </c>
    </row>
    <row r="140" spans="1:8" x14ac:dyDescent="0.3">
      <c r="A140" t="s">
        <v>123</v>
      </c>
      <c r="B140" s="1">
        <v>190</v>
      </c>
      <c r="C140" s="1" t="s">
        <v>44</v>
      </c>
      <c r="D140" s="1" t="s">
        <v>339</v>
      </c>
      <c r="E140" s="1" t="s">
        <v>569</v>
      </c>
      <c r="F140" s="1" t="str">
        <f t="shared" si="13"/>
        <v>SP</v>
      </c>
      <c r="G140" s="1" t="str">
        <f t="shared" si="14"/>
        <v>SP</v>
      </c>
      <c r="H140" s="1" t="str">
        <f t="shared" si="12"/>
        <v>Marília</v>
      </c>
    </row>
    <row r="141" spans="1:8" x14ac:dyDescent="0.3">
      <c r="A141" t="s">
        <v>124</v>
      </c>
      <c r="B141" s="1">
        <v>320</v>
      </c>
      <c r="C141" s="1" t="s">
        <v>44</v>
      </c>
      <c r="D141" s="1" t="s">
        <v>339</v>
      </c>
      <c r="E141" s="1" t="s">
        <v>569</v>
      </c>
      <c r="F141" s="1" t="str">
        <f t="shared" si="13"/>
        <v>SP</v>
      </c>
      <c r="G141" s="1" t="str">
        <f t="shared" si="14"/>
        <v>SP</v>
      </c>
      <c r="H141" s="1" t="str">
        <f t="shared" si="12"/>
        <v>Marília</v>
      </c>
    </row>
    <row r="142" spans="1:8" x14ac:dyDescent="0.3">
      <c r="A142" t="s">
        <v>125</v>
      </c>
      <c r="B142" s="1">
        <v>561</v>
      </c>
      <c r="C142" s="1" t="s">
        <v>44</v>
      </c>
      <c r="D142" s="1" t="s">
        <v>339</v>
      </c>
      <c r="E142" s="1" t="s">
        <v>569</v>
      </c>
      <c r="F142" s="1" t="str">
        <f t="shared" si="13"/>
        <v>SP</v>
      </c>
      <c r="G142" s="1" t="str">
        <f t="shared" si="14"/>
        <v>SP</v>
      </c>
      <c r="H142" s="1" t="str">
        <f t="shared" si="12"/>
        <v>Marília</v>
      </c>
    </row>
    <row r="143" spans="1:8" x14ac:dyDescent="0.3">
      <c r="A143" t="s">
        <v>126</v>
      </c>
      <c r="B143" s="1">
        <v>473</v>
      </c>
      <c r="C143" s="3" t="s">
        <v>324</v>
      </c>
      <c r="D143" s="1" t="s">
        <v>341</v>
      </c>
      <c r="E143" s="1" t="s">
        <v>22</v>
      </c>
      <c r="F143" s="1" t="str">
        <f t="shared" si="13"/>
        <v>EX</v>
      </c>
      <c r="G143" s="1" t="str">
        <f t="shared" si="14"/>
        <v>PR</v>
      </c>
      <c r="H143" s="1" t="str">
        <f t="shared" si="12"/>
        <v>Matelândia</v>
      </c>
    </row>
    <row r="144" spans="1:8" x14ac:dyDescent="0.3">
      <c r="A144" t="s">
        <v>127</v>
      </c>
      <c r="B144" s="1">
        <v>577</v>
      </c>
      <c r="C144" s="3" t="s">
        <v>324</v>
      </c>
      <c r="D144" s="1" t="s">
        <v>341</v>
      </c>
      <c r="E144" s="1" t="s">
        <v>22</v>
      </c>
      <c r="F144" s="1" t="str">
        <f t="shared" si="13"/>
        <v>EX</v>
      </c>
      <c r="G144" s="1" t="str">
        <f t="shared" si="14"/>
        <v>PR</v>
      </c>
      <c r="H144" s="1" t="str">
        <f t="shared" si="12"/>
        <v>Matelândia</v>
      </c>
    </row>
    <row r="145" spans="1:8" x14ac:dyDescent="0.3">
      <c r="A145" t="s">
        <v>279</v>
      </c>
      <c r="B145" s="1">
        <v>365</v>
      </c>
      <c r="C145" s="3" t="s">
        <v>324</v>
      </c>
      <c r="D145" s="1" t="s">
        <v>341</v>
      </c>
      <c r="E145" s="1" t="s">
        <v>22</v>
      </c>
      <c r="F145" s="1" t="str">
        <f t="shared" si="13"/>
        <v>EX</v>
      </c>
      <c r="G145" s="1" t="str">
        <f t="shared" si="14"/>
        <v>PR</v>
      </c>
      <c r="H145" s="1" t="str">
        <f t="shared" si="12"/>
        <v>Nova Aurora</v>
      </c>
    </row>
    <row r="146" spans="1:8" x14ac:dyDescent="0.3">
      <c r="A146" s="7" t="s">
        <v>542</v>
      </c>
      <c r="B146" s="1">
        <v>609</v>
      </c>
      <c r="C146" s="3" t="s">
        <v>325</v>
      </c>
      <c r="D146" s="1" t="s">
        <v>343</v>
      </c>
      <c r="E146" s="1" t="s">
        <v>567</v>
      </c>
      <c r="F146" s="1" t="str">
        <f t="shared" si="13"/>
        <v>EX</v>
      </c>
      <c r="G146" s="1" t="str">
        <f t="shared" si="14"/>
        <v>MT</v>
      </c>
      <c r="H146"/>
    </row>
    <row r="147" spans="1:8" x14ac:dyDescent="0.3">
      <c r="A147" s="7" t="s">
        <v>541</v>
      </c>
      <c r="B147" s="1">
        <v>613</v>
      </c>
      <c r="E147" s="1" t="s">
        <v>568</v>
      </c>
      <c r="F147" s="1" t="str">
        <f t="shared" si="13"/>
        <v>SP</v>
      </c>
      <c r="G147" s="1" t="str">
        <f t="shared" si="14"/>
        <v>SP</v>
      </c>
      <c r="H147"/>
    </row>
    <row r="148" spans="1:8" x14ac:dyDescent="0.3">
      <c r="A148" t="s">
        <v>280</v>
      </c>
      <c r="B148" s="1">
        <v>228</v>
      </c>
      <c r="C148" s="1" t="s">
        <v>44</v>
      </c>
      <c r="D148" s="1" t="s">
        <v>340</v>
      </c>
      <c r="E148" s="1" t="s">
        <v>569</v>
      </c>
      <c r="F148" s="1" t="str">
        <f t="shared" si="13"/>
        <v>SP</v>
      </c>
      <c r="G148" s="1" t="str">
        <f t="shared" si="14"/>
        <v>SP</v>
      </c>
      <c r="H148" s="1" t="str">
        <f t="shared" ref="H148:H184" si="15">LEFT(A148,FIND(" (",A148)-1)</f>
        <v>Ourinhos</v>
      </c>
    </row>
    <row r="149" spans="1:8" x14ac:dyDescent="0.3">
      <c r="A149" t="s">
        <v>281</v>
      </c>
      <c r="B149" s="1">
        <v>248</v>
      </c>
      <c r="C149" s="1" t="s">
        <v>44</v>
      </c>
      <c r="D149" s="1" t="s">
        <v>340</v>
      </c>
      <c r="E149" s="1" t="s">
        <v>569</v>
      </c>
      <c r="F149" s="1" t="str">
        <f t="shared" si="13"/>
        <v>SP</v>
      </c>
      <c r="G149" s="1" t="str">
        <f t="shared" si="14"/>
        <v>SP</v>
      </c>
      <c r="H149" s="1" t="str">
        <f t="shared" si="15"/>
        <v>Ourinhos</v>
      </c>
    </row>
    <row r="150" spans="1:8" x14ac:dyDescent="0.3">
      <c r="A150" t="s">
        <v>128</v>
      </c>
      <c r="B150" s="1">
        <v>387</v>
      </c>
      <c r="C150" s="1" t="s">
        <v>44</v>
      </c>
      <c r="D150" s="1" t="s">
        <v>340</v>
      </c>
      <c r="E150" s="1" t="s">
        <v>569</v>
      </c>
      <c r="F150" s="1" t="str">
        <f t="shared" si="13"/>
        <v>SP</v>
      </c>
      <c r="G150" s="1" t="str">
        <f t="shared" si="14"/>
        <v>SP</v>
      </c>
      <c r="H150" s="1" t="str">
        <f t="shared" si="15"/>
        <v>Ourinhos</v>
      </c>
    </row>
    <row r="151" spans="1:8" x14ac:dyDescent="0.3">
      <c r="A151" t="s">
        <v>129</v>
      </c>
      <c r="B151" s="1">
        <v>434</v>
      </c>
      <c r="C151" s="1" t="s">
        <v>44</v>
      </c>
      <c r="D151" s="1" t="s">
        <v>340</v>
      </c>
      <c r="E151" s="1" t="s">
        <v>569</v>
      </c>
      <c r="F151" s="1" t="str">
        <f t="shared" si="13"/>
        <v>SP</v>
      </c>
      <c r="G151" s="1" t="str">
        <f t="shared" si="14"/>
        <v>SP</v>
      </c>
      <c r="H151" s="1" t="str">
        <f t="shared" si="15"/>
        <v>Ourinhos</v>
      </c>
    </row>
    <row r="152" spans="1:8" x14ac:dyDescent="0.3">
      <c r="A152" t="s">
        <v>130</v>
      </c>
      <c r="B152" s="1">
        <v>384</v>
      </c>
      <c r="C152" s="3" t="s">
        <v>324</v>
      </c>
      <c r="D152" s="1" t="s">
        <v>341</v>
      </c>
      <c r="E152" s="1" t="s">
        <v>22</v>
      </c>
      <c r="F152" s="1" t="str">
        <f t="shared" si="13"/>
        <v>EX</v>
      </c>
      <c r="G152" s="1" t="str">
        <f t="shared" si="14"/>
        <v>PR</v>
      </c>
      <c r="H152" s="1" t="str">
        <f t="shared" si="15"/>
        <v>Palotina</v>
      </c>
    </row>
    <row r="153" spans="1:8" x14ac:dyDescent="0.3">
      <c r="A153" t="s">
        <v>131</v>
      </c>
      <c r="B153" s="1">
        <v>489</v>
      </c>
      <c r="C153" s="3" t="s">
        <v>324</v>
      </c>
      <c r="D153" s="1" t="s">
        <v>342</v>
      </c>
      <c r="E153" s="1" t="s">
        <v>22</v>
      </c>
      <c r="F153" s="1" t="str">
        <f t="shared" si="13"/>
        <v>EX</v>
      </c>
      <c r="G153" s="1" t="str">
        <f t="shared" si="14"/>
        <v>PR</v>
      </c>
      <c r="H153" s="1" t="str">
        <f t="shared" si="15"/>
        <v>Paranavaí</v>
      </c>
    </row>
    <row r="154" spans="1:8" x14ac:dyDescent="0.3">
      <c r="A154" t="s">
        <v>132</v>
      </c>
      <c r="B154" s="1">
        <v>490</v>
      </c>
      <c r="C154" s="3" t="s">
        <v>324</v>
      </c>
      <c r="D154" s="1" t="s">
        <v>342</v>
      </c>
      <c r="E154" s="1" t="s">
        <v>22</v>
      </c>
      <c r="F154" s="1" t="str">
        <f t="shared" si="13"/>
        <v>EX</v>
      </c>
      <c r="G154" s="1" t="str">
        <f t="shared" si="14"/>
        <v>PR</v>
      </c>
      <c r="H154" s="1" t="str">
        <f t="shared" si="15"/>
        <v>Paranavaí</v>
      </c>
    </row>
    <row r="155" spans="1:8" x14ac:dyDescent="0.3">
      <c r="A155" t="s">
        <v>133</v>
      </c>
      <c r="B155" s="1">
        <v>491</v>
      </c>
      <c r="C155" s="3" t="s">
        <v>324</v>
      </c>
      <c r="D155" s="1" t="s">
        <v>342</v>
      </c>
      <c r="E155" s="1" t="s">
        <v>22</v>
      </c>
      <c r="F155" s="1" t="str">
        <f t="shared" si="13"/>
        <v>EX</v>
      </c>
      <c r="G155" s="1" t="str">
        <f t="shared" si="14"/>
        <v>PR</v>
      </c>
      <c r="H155" s="1" t="str">
        <f t="shared" si="15"/>
        <v>Paranavaí</v>
      </c>
    </row>
    <row r="156" spans="1:8" x14ac:dyDescent="0.3">
      <c r="A156" t="s">
        <v>282</v>
      </c>
      <c r="B156" s="1">
        <v>319</v>
      </c>
      <c r="C156" s="1" t="s">
        <v>322</v>
      </c>
      <c r="D156" s="1" t="s">
        <v>337</v>
      </c>
      <c r="E156" s="1" t="s">
        <v>566</v>
      </c>
      <c r="F156" s="1" t="str">
        <f t="shared" si="13"/>
        <v>SP</v>
      </c>
      <c r="G156" s="1" t="str">
        <f t="shared" si="14"/>
        <v>SP</v>
      </c>
      <c r="H156" s="1" t="str">
        <f t="shared" si="15"/>
        <v>Pindamonhangaba</v>
      </c>
    </row>
    <row r="157" spans="1:8" x14ac:dyDescent="0.3">
      <c r="A157" t="s">
        <v>283</v>
      </c>
      <c r="B157" s="1">
        <v>210</v>
      </c>
      <c r="C157" s="1" t="s">
        <v>322</v>
      </c>
      <c r="D157" s="1" t="s">
        <v>337</v>
      </c>
      <c r="E157" s="1" t="s">
        <v>566</v>
      </c>
      <c r="F157" s="1" t="str">
        <f t="shared" si="13"/>
        <v>SP</v>
      </c>
      <c r="G157" s="1" t="str">
        <f t="shared" si="14"/>
        <v>SP</v>
      </c>
      <c r="H157" s="1" t="str">
        <f t="shared" si="15"/>
        <v>Piracicaba</v>
      </c>
    </row>
    <row r="158" spans="1:8" x14ac:dyDescent="0.3">
      <c r="A158" t="s">
        <v>284</v>
      </c>
      <c r="B158" s="1">
        <v>211</v>
      </c>
      <c r="C158" s="1" t="s">
        <v>322</v>
      </c>
      <c r="D158" s="1" t="s">
        <v>337</v>
      </c>
      <c r="E158" s="1" t="s">
        <v>566</v>
      </c>
      <c r="F158" s="1" t="str">
        <f t="shared" si="13"/>
        <v>SP</v>
      </c>
      <c r="G158" s="1" t="str">
        <f t="shared" si="14"/>
        <v>SP</v>
      </c>
      <c r="H158" s="1" t="str">
        <f t="shared" si="15"/>
        <v>Piracicaba</v>
      </c>
    </row>
    <row r="159" spans="1:8" x14ac:dyDescent="0.3">
      <c r="A159" t="s">
        <v>285</v>
      </c>
      <c r="B159" s="1">
        <v>212</v>
      </c>
      <c r="C159" s="1" t="s">
        <v>322</v>
      </c>
      <c r="D159" s="1" t="s">
        <v>337</v>
      </c>
      <c r="E159" s="1" t="s">
        <v>566</v>
      </c>
      <c r="F159" s="1" t="str">
        <f t="shared" si="13"/>
        <v>SP</v>
      </c>
      <c r="G159" s="1" t="str">
        <f t="shared" si="14"/>
        <v>SP</v>
      </c>
      <c r="H159" s="1" t="str">
        <f t="shared" si="15"/>
        <v>Piracicaba</v>
      </c>
    </row>
    <row r="160" spans="1:8" x14ac:dyDescent="0.3">
      <c r="A160" t="s">
        <v>287</v>
      </c>
      <c r="B160" s="1">
        <v>231</v>
      </c>
      <c r="C160" s="1" t="s">
        <v>322</v>
      </c>
      <c r="D160" s="1" t="s">
        <v>337</v>
      </c>
      <c r="E160" s="1" t="s">
        <v>566</v>
      </c>
      <c r="F160" s="1" t="str">
        <f t="shared" si="13"/>
        <v>SP</v>
      </c>
      <c r="G160" s="1" t="str">
        <f t="shared" si="14"/>
        <v>SP</v>
      </c>
      <c r="H160" s="1" t="str">
        <f t="shared" si="15"/>
        <v>Piracicaba</v>
      </c>
    </row>
    <row r="161" spans="1:8" x14ac:dyDescent="0.3">
      <c r="A161" t="s">
        <v>288</v>
      </c>
      <c r="B161" s="1">
        <v>232</v>
      </c>
      <c r="C161" s="1" t="s">
        <v>322</v>
      </c>
      <c r="D161" s="1" t="s">
        <v>337</v>
      </c>
      <c r="E161" s="1" t="s">
        <v>566</v>
      </c>
      <c r="F161" s="1" t="str">
        <f t="shared" si="13"/>
        <v>SP</v>
      </c>
      <c r="G161" s="1" t="str">
        <f t="shared" si="14"/>
        <v>SP</v>
      </c>
      <c r="H161" s="1" t="str">
        <f t="shared" si="15"/>
        <v>Piracicaba</v>
      </c>
    </row>
    <row r="162" spans="1:8" x14ac:dyDescent="0.3">
      <c r="A162" t="s">
        <v>289</v>
      </c>
      <c r="B162" s="1">
        <v>233</v>
      </c>
      <c r="C162" s="1" t="s">
        <v>322</v>
      </c>
      <c r="D162" s="1" t="s">
        <v>337</v>
      </c>
      <c r="E162" s="1" t="s">
        <v>566</v>
      </c>
      <c r="F162" s="1" t="str">
        <f t="shared" si="13"/>
        <v>SP</v>
      </c>
      <c r="G162" s="1" t="str">
        <f t="shared" si="14"/>
        <v>SP</v>
      </c>
      <c r="H162" s="1" t="str">
        <f t="shared" si="15"/>
        <v>Piracicaba</v>
      </c>
    </row>
    <row r="163" spans="1:8" x14ac:dyDescent="0.3">
      <c r="A163" t="s">
        <v>290</v>
      </c>
      <c r="B163" s="1">
        <v>234</v>
      </c>
      <c r="C163" s="1" t="s">
        <v>322</v>
      </c>
      <c r="D163" s="1" t="s">
        <v>337</v>
      </c>
      <c r="E163" s="1" t="s">
        <v>566</v>
      </c>
      <c r="F163" s="1" t="str">
        <f t="shared" si="13"/>
        <v>SP</v>
      </c>
      <c r="G163" s="1" t="str">
        <f t="shared" si="14"/>
        <v>SP</v>
      </c>
      <c r="H163" s="1" t="str">
        <f t="shared" si="15"/>
        <v>Piracicaba</v>
      </c>
    </row>
    <row r="164" spans="1:8" x14ac:dyDescent="0.3">
      <c r="A164" t="s">
        <v>291</v>
      </c>
      <c r="B164" s="1">
        <v>235</v>
      </c>
      <c r="C164" s="1" t="s">
        <v>322</v>
      </c>
      <c r="D164" s="1" t="s">
        <v>337</v>
      </c>
      <c r="E164" s="1" t="s">
        <v>566</v>
      </c>
      <c r="F164" s="1" t="str">
        <f t="shared" si="13"/>
        <v>SP</v>
      </c>
      <c r="G164" s="1" t="str">
        <f t="shared" si="14"/>
        <v>SP</v>
      </c>
      <c r="H164" s="1" t="str">
        <f t="shared" si="15"/>
        <v>Piracicaba</v>
      </c>
    </row>
    <row r="165" spans="1:8" x14ac:dyDescent="0.3">
      <c r="A165" t="s">
        <v>293</v>
      </c>
      <c r="B165" s="1">
        <v>236</v>
      </c>
      <c r="C165" s="1" t="s">
        <v>322</v>
      </c>
      <c r="D165" s="1" t="s">
        <v>337</v>
      </c>
      <c r="E165" s="1" t="s">
        <v>566</v>
      </c>
      <c r="F165" s="1" t="str">
        <f t="shared" si="13"/>
        <v>SP</v>
      </c>
      <c r="G165" s="1" t="str">
        <f t="shared" si="14"/>
        <v>SP</v>
      </c>
      <c r="H165" s="1" t="str">
        <f t="shared" si="15"/>
        <v>Piracicaba</v>
      </c>
    </row>
    <row r="166" spans="1:8" x14ac:dyDescent="0.3">
      <c r="A166" t="s">
        <v>294</v>
      </c>
      <c r="B166" s="1">
        <v>237</v>
      </c>
      <c r="C166" s="1" t="s">
        <v>322</v>
      </c>
      <c r="D166" s="1" t="s">
        <v>337</v>
      </c>
      <c r="E166" s="1" t="s">
        <v>566</v>
      </c>
      <c r="F166" s="1" t="str">
        <f t="shared" ref="F166:F197" si="16">IF(LEFT(E166,2)="SP","SP","EX")</f>
        <v>SP</v>
      </c>
      <c r="G166" s="1" t="str">
        <f t="shared" ref="G166:G197" si="17">LEFT(E166,2)</f>
        <v>SP</v>
      </c>
      <c r="H166" s="1" t="str">
        <f t="shared" si="15"/>
        <v>Piracicaba</v>
      </c>
    </row>
    <row r="167" spans="1:8" x14ac:dyDescent="0.3">
      <c r="A167" t="s">
        <v>295</v>
      </c>
      <c r="B167" s="1">
        <v>238</v>
      </c>
      <c r="C167" s="1" t="s">
        <v>322</v>
      </c>
      <c r="D167" s="1" t="s">
        <v>337</v>
      </c>
      <c r="E167" s="1" t="s">
        <v>566</v>
      </c>
      <c r="F167" s="1" t="str">
        <f t="shared" si="16"/>
        <v>SP</v>
      </c>
      <c r="G167" s="1" t="str">
        <f t="shared" si="17"/>
        <v>SP</v>
      </c>
      <c r="H167" s="1" t="str">
        <f t="shared" si="15"/>
        <v>Piracicaba</v>
      </c>
    </row>
    <row r="168" spans="1:8" x14ac:dyDescent="0.3">
      <c r="A168" t="s">
        <v>286</v>
      </c>
      <c r="B168" s="1">
        <v>203</v>
      </c>
      <c r="C168" s="1" t="s">
        <v>322</v>
      </c>
      <c r="D168" s="1" t="s">
        <v>337</v>
      </c>
      <c r="E168" s="1" t="s">
        <v>566</v>
      </c>
      <c r="F168" s="1" t="str">
        <f t="shared" si="16"/>
        <v>SP</v>
      </c>
      <c r="G168" s="1" t="str">
        <f t="shared" si="17"/>
        <v>SP</v>
      </c>
      <c r="H168" s="1" t="str">
        <f t="shared" si="15"/>
        <v>Piracicaba</v>
      </c>
    </row>
    <row r="169" spans="1:8" x14ac:dyDescent="0.3">
      <c r="A169" t="s">
        <v>292</v>
      </c>
      <c r="B169" s="1">
        <v>204</v>
      </c>
      <c r="C169" s="1" t="s">
        <v>322</v>
      </c>
      <c r="D169" s="1" t="s">
        <v>337</v>
      </c>
      <c r="E169" s="1" t="s">
        <v>566</v>
      </c>
      <c r="F169" s="1" t="str">
        <f t="shared" si="16"/>
        <v>SP</v>
      </c>
      <c r="G169" s="1" t="str">
        <f t="shared" si="17"/>
        <v>SP</v>
      </c>
      <c r="H169" s="1" t="str">
        <f t="shared" si="15"/>
        <v>Piracicaba</v>
      </c>
    </row>
    <row r="170" spans="1:8" x14ac:dyDescent="0.3">
      <c r="A170" t="s">
        <v>134</v>
      </c>
      <c r="B170" s="1">
        <v>603</v>
      </c>
      <c r="C170" s="1" t="s">
        <v>322</v>
      </c>
      <c r="D170" s="1" t="s">
        <v>339</v>
      </c>
      <c r="E170" s="1" t="s">
        <v>570</v>
      </c>
      <c r="F170" s="1" t="str">
        <f t="shared" si="16"/>
        <v>SP</v>
      </c>
      <c r="G170" s="1" t="str">
        <f t="shared" si="17"/>
        <v>SP</v>
      </c>
      <c r="H170" s="1" t="str">
        <f t="shared" si="15"/>
        <v>Piratininga</v>
      </c>
    </row>
    <row r="171" spans="1:8" x14ac:dyDescent="0.3">
      <c r="A171" t="s">
        <v>135</v>
      </c>
      <c r="B171" s="1">
        <v>604</v>
      </c>
      <c r="C171" s="1" t="s">
        <v>322</v>
      </c>
      <c r="D171" s="1" t="s">
        <v>339</v>
      </c>
      <c r="E171" s="1" t="s">
        <v>570</v>
      </c>
      <c r="F171" s="1" t="str">
        <f t="shared" si="16"/>
        <v>SP</v>
      </c>
      <c r="G171" s="1" t="str">
        <f t="shared" si="17"/>
        <v>SP</v>
      </c>
      <c r="H171" s="1" t="str">
        <f t="shared" si="15"/>
        <v>Piratininga</v>
      </c>
    </row>
    <row r="172" spans="1:8" x14ac:dyDescent="0.3">
      <c r="A172" t="s">
        <v>136</v>
      </c>
      <c r="B172" s="1">
        <v>464</v>
      </c>
      <c r="C172" s="1" t="s">
        <v>322</v>
      </c>
      <c r="D172" s="1" t="s">
        <v>339</v>
      </c>
      <c r="E172" s="1" t="s">
        <v>570</v>
      </c>
      <c r="F172" s="1" t="str">
        <f t="shared" si="16"/>
        <v>SP</v>
      </c>
      <c r="G172" s="1" t="str">
        <f t="shared" si="17"/>
        <v>SP</v>
      </c>
      <c r="H172" s="1" t="str">
        <f t="shared" si="15"/>
        <v>Piratininga</v>
      </c>
    </row>
    <row r="173" spans="1:8" x14ac:dyDescent="0.3">
      <c r="A173" t="s">
        <v>137</v>
      </c>
      <c r="B173" s="1">
        <v>466</v>
      </c>
      <c r="C173" s="1" t="s">
        <v>322</v>
      </c>
      <c r="D173" s="1" t="s">
        <v>339</v>
      </c>
      <c r="E173" s="1" t="s">
        <v>570</v>
      </c>
      <c r="F173" s="1" t="str">
        <f t="shared" si="16"/>
        <v>SP</v>
      </c>
      <c r="G173" s="1" t="str">
        <f t="shared" si="17"/>
        <v>SP</v>
      </c>
      <c r="H173" s="1" t="str">
        <f t="shared" si="15"/>
        <v>Piratininga</v>
      </c>
    </row>
    <row r="174" spans="1:8" x14ac:dyDescent="0.3">
      <c r="A174" t="s">
        <v>138</v>
      </c>
      <c r="B174" s="1">
        <v>525</v>
      </c>
      <c r="C174" s="3" t="s">
        <v>324</v>
      </c>
      <c r="D174" s="1" t="s">
        <v>342</v>
      </c>
      <c r="E174" s="1" t="s">
        <v>22</v>
      </c>
      <c r="F174" s="1" t="str">
        <f t="shared" si="16"/>
        <v>EX</v>
      </c>
      <c r="G174" s="1" t="str">
        <f t="shared" si="17"/>
        <v>PR</v>
      </c>
      <c r="H174" s="1" t="str">
        <f t="shared" si="15"/>
        <v>Ponta Grossa</v>
      </c>
    </row>
    <row r="175" spans="1:8" x14ac:dyDescent="0.3">
      <c r="A175" t="s">
        <v>139</v>
      </c>
      <c r="B175" s="1">
        <v>584</v>
      </c>
      <c r="C175" s="3" t="s">
        <v>324</v>
      </c>
      <c r="D175" s="1" t="s">
        <v>342</v>
      </c>
      <c r="E175" s="1" t="s">
        <v>22</v>
      </c>
      <c r="F175" s="1" t="str">
        <f t="shared" si="16"/>
        <v>EX</v>
      </c>
      <c r="G175" s="1" t="str">
        <f t="shared" si="17"/>
        <v>PR</v>
      </c>
      <c r="H175" s="1" t="str">
        <f t="shared" si="15"/>
        <v>Ponta Grossa</v>
      </c>
    </row>
    <row r="176" spans="1:8" x14ac:dyDescent="0.3">
      <c r="A176" t="s">
        <v>140</v>
      </c>
      <c r="B176" s="1">
        <v>456</v>
      </c>
      <c r="C176" s="3" t="s">
        <v>324</v>
      </c>
      <c r="D176" s="1" t="s">
        <v>342</v>
      </c>
      <c r="E176" s="1" t="s">
        <v>22</v>
      </c>
      <c r="F176" s="1" t="str">
        <f t="shared" si="16"/>
        <v>EX</v>
      </c>
      <c r="G176" s="1" t="str">
        <f t="shared" si="17"/>
        <v>PR</v>
      </c>
      <c r="H176" s="1" t="str">
        <f t="shared" si="15"/>
        <v>Ponta Grossa</v>
      </c>
    </row>
    <row r="177" spans="1:8" x14ac:dyDescent="0.3">
      <c r="A177" t="s">
        <v>296</v>
      </c>
      <c r="B177" s="1">
        <v>292</v>
      </c>
      <c r="C177" s="3" t="s">
        <v>324</v>
      </c>
      <c r="D177" s="1" t="s">
        <v>342</v>
      </c>
      <c r="E177" s="1" t="s">
        <v>22</v>
      </c>
      <c r="F177" s="1" t="str">
        <f t="shared" si="16"/>
        <v>EX</v>
      </c>
      <c r="G177" s="1" t="str">
        <f t="shared" si="17"/>
        <v>PR</v>
      </c>
      <c r="H177" s="1" t="str">
        <f t="shared" si="15"/>
        <v>Ponta Grossa</v>
      </c>
    </row>
    <row r="178" spans="1:8" x14ac:dyDescent="0.3">
      <c r="A178" t="s">
        <v>297</v>
      </c>
      <c r="B178" s="1">
        <v>308</v>
      </c>
      <c r="C178" s="3" t="s">
        <v>324</v>
      </c>
      <c r="D178" s="1" t="s">
        <v>342</v>
      </c>
      <c r="E178" s="1" t="s">
        <v>22</v>
      </c>
      <c r="F178" s="1" t="str">
        <f t="shared" si="16"/>
        <v>EX</v>
      </c>
      <c r="G178" s="1" t="str">
        <f t="shared" si="17"/>
        <v>PR</v>
      </c>
      <c r="H178" s="1" t="str">
        <f t="shared" si="15"/>
        <v>Ponta Grossa</v>
      </c>
    </row>
    <row r="179" spans="1:8" x14ac:dyDescent="0.3">
      <c r="A179" t="s">
        <v>298</v>
      </c>
      <c r="B179" s="1">
        <v>347</v>
      </c>
      <c r="C179" s="3" t="s">
        <v>324</v>
      </c>
      <c r="D179" s="1" t="s">
        <v>342</v>
      </c>
      <c r="E179" s="1" t="s">
        <v>22</v>
      </c>
      <c r="F179" s="1" t="str">
        <f t="shared" si="16"/>
        <v>EX</v>
      </c>
      <c r="G179" s="1" t="str">
        <f t="shared" si="17"/>
        <v>PR</v>
      </c>
      <c r="H179" s="1" t="str">
        <f t="shared" si="15"/>
        <v>Ponta Grossa</v>
      </c>
    </row>
    <row r="180" spans="1:8" x14ac:dyDescent="0.3">
      <c r="A180" t="s">
        <v>299</v>
      </c>
      <c r="B180" s="1">
        <v>467</v>
      </c>
      <c r="C180" s="3" t="s">
        <v>324</v>
      </c>
      <c r="D180" s="1" t="s">
        <v>342</v>
      </c>
      <c r="E180" s="1" t="s">
        <v>22</v>
      </c>
      <c r="F180" s="1" t="str">
        <f t="shared" si="16"/>
        <v>EX</v>
      </c>
      <c r="G180" s="1" t="str">
        <f t="shared" si="17"/>
        <v>PR</v>
      </c>
      <c r="H180" s="1" t="str">
        <f t="shared" si="15"/>
        <v>Ponta Grossa</v>
      </c>
    </row>
    <row r="181" spans="1:8" x14ac:dyDescent="0.3">
      <c r="A181" t="s">
        <v>300</v>
      </c>
      <c r="B181" s="1">
        <v>468</v>
      </c>
      <c r="C181" s="3" t="s">
        <v>324</v>
      </c>
      <c r="D181" s="1" t="s">
        <v>342</v>
      </c>
      <c r="E181" s="1" t="s">
        <v>22</v>
      </c>
      <c r="F181" s="1" t="str">
        <f t="shared" si="16"/>
        <v>EX</v>
      </c>
      <c r="G181" s="1" t="str">
        <f t="shared" si="17"/>
        <v>PR</v>
      </c>
      <c r="H181" s="1" t="str">
        <f t="shared" si="15"/>
        <v>Ponta Grossa</v>
      </c>
    </row>
    <row r="182" spans="1:8" x14ac:dyDescent="0.3">
      <c r="A182" t="s">
        <v>141</v>
      </c>
      <c r="B182" s="1">
        <v>383</v>
      </c>
      <c r="C182" s="1" t="s">
        <v>44</v>
      </c>
      <c r="D182" s="1" t="s">
        <v>339</v>
      </c>
      <c r="E182" s="1" t="s">
        <v>569</v>
      </c>
      <c r="F182" s="1" t="str">
        <f t="shared" si="16"/>
        <v>SP</v>
      </c>
      <c r="G182" s="1" t="str">
        <f t="shared" si="17"/>
        <v>SP</v>
      </c>
      <c r="H182" s="1" t="str">
        <f t="shared" si="15"/>
        <v>Presidente Prudente</v>
      </c>
    </row>
    <row r="183" spans="1:8" x14ac:dyDescent="0.3">
      <c r="A183" t="s">
        <v>142</v>
      </c>
      <c r="B183" s="1">
        <v>402</v>
      </c>
      <c r="C183" s="1" t="s">
        <v>44</v>
      </c>
      <c r="D183" s="1" t="s">
        <v>339</v>
      </c>
      <c r="E183" s="1" t="s">
        <v>569</v>
      </c>
      <c r="F183" s="1" t="str">
        <f t="shared" si="16"/>
        <v>SP</v>
      </c>
      <c r="G183" s="1" t="str">
        <f t="shared" si="17"/>
        <v>SP</v>
      </c>
      <c r="H183" s="1" t="str">
        <f t="shared" si="15"/>
        <v>Presidente Prudente</v>
      </c>
    </row>
    <row r="184" spans="1:8" x14ac:dyDescent="0.3">
      <c r="A184" t="s">
        <v>143</v>
      </c>
      <c r="B184" s="1">
        <v>444</v>
      </c>
      <c r="C184" s="1" t="s">
        <v>44</v>
      </c>
      <c r="D184" s="1" t="s">
        <v>339</v>
      </c>
      <c r="E184" s="1" t="s">
        <v>569</v>
      </c>
      <c r="F184" s="1" t="str">
        <f t="shared" si="16"/>
        <v>SP</v>
      </c>
      <c r="G184" s="1" t="str">
        <f t="shared" si="17"/>
        <v>SP</v>
      </c>
      <c r="H184" s="1" t="str">
        <f t="shared" si="15"/>
        <v>Presidente Prudente</v>
      </c>
    </row>
    <row r="185" spans="1:8" x14ac:dyDescent="0.3">
      <c r="A185" t="s">
        <v>301</v>
      </c>
      <c r="B185" s="1">
        <v>221</v>
      </c>
      <c r="C185" s="1" t="s">
        <v>44</v>
      </c>
      <c r="D185" s="1" t="s">
        <v>339</v>
      </c>
      <c r="E185" s="1" t="s">
        <v>569</v>
      </c>
      <c r="F185" s="1" t="str">
        <f t="shared" si="16"/>
        <v>SP</v>
      </c>
      <c r="G185" s="1" t="str">
        <f t="shared" si="17"/>
        <v>SP</v>
      </c>
      <c r="H185" s="1" t="s">
        <v>328</v>
      </c>
    </row>
    <row r="186" spans="1:8" x14ac:dyDescent="0.3">
      <c r="A186" s="7" t="s">
        <v>558</v>
      </c>
      <c r="B186" s="1">
        <v>241</v>
      </c>
      <c r="C186" s="1" t="s">
        <v>44</v>
      </c>
      <c r="D186" s="1" t="s">
        <v>339</v>
      </c>
      <c r="E186" s="1" t="s">
        <v>569</v>
      </c>
      <c r="F186" s="1" t="str">
        <f t="shared" si="16"/>
        <v>SP</v>
      </c>
      <c r="G186" s="1" t="str">
        <f t="shared" si="17"/>
        <v>SP</v>
      </c>
      <c r="H186" s="1" t="s">
        <v>328</v>
      </c>
    </row>
    <row r="187" spans="1:8" x14ac:dyDescent="0.3">
      <c r="A187" t="s">
        <v>302</v>
      </c>
      <c r="B187" s="1">
        <v>242</v>
      </c>
      <c r="C187" s="1" t="s">
        <v>44</v>
      </c>
      <c r="D187" s="1" t="s">
        <v>339</v>
      </c>
      <c r="E187" s="1" t="s">
        <v>569</v>
      </c>
      <c r="F187" s="1" t="str">
        <f t="shared" si="16"/>
        <v>SP</v>
      </c>
      <c r="G187" s="1" t="str">
        <f t="shared" si="17"/>
        <v>SP</v>
      </c>
      <c r="H187" s="1" t="s">
        <v>328</v>
      </c>
    </row>
    <row r="188" spans="1:8" x14ac:dyDescent="0.3">
      <c r="A188" t="s">
        <v>303</v>
      </c>
      <c r="B188" s="1">
        <v>394</v>
      </c>
      <c r="C188" s="3" t="s">
        <v>325</v>
      </c>
      <c r="D188" s="1" t="s">
        <v>343</v>
      </c>
      <c r="E188" s="1" t="s">
        <v>567</v>
      </c>
      <c r="F188" s="1" t="str">
        <f t="shared" si="16"/>
        <v>EX</v>
      </c>
      <c r="G188" s="1" t="str">
        <f t="shared" si="17"/>
        <v>MT</v>
      </c>
      <c r="H188" s="1" t="str">
        <f t="shared" ref="H188:H215" si="18">LEFT(A188,FIND(" (",A188)-1)</f>
        <v>Primavera do Leste</v>
      </c>
    </row>
    <row r="189" spans="1:8" x14ac:dyDescent="0.3">
      <c r="A189" t="s">
        <v>144</v>
      </c>
      <c r="B189" s="1">
        <v>420</v>
      </c>
      <c r="C189" s="3" t="s">
        <v>325</v>
      </c>
      <c r="D189" s="1" t="s">
        <v>343</v>
      </c>
      <c r="E189" s="1" t="s">
        <v>567</v>
      </c>
      <c r="F189" s="1" t="str">
        <f t="shared" si="16"/>
        <v>EX</v>
      </c>
      <c r="G189" s="1" t="str">
        <f t="shared" si="17"/>
        <v>MT</v>
      </c>
      <c r="H189" s="1" t="str">
        <f t="shared" si="18"/>
        <v>Primavera do Leste</v>
      </c>
    </row>
    <row r="190" spans="1:8" x14ac:dyDescent="0.3">
      <c r="A190" t="s">
        <v>145</v>
      </c>
      <c r="B190" s="1">
        <v>397</v>
      </c>
      <c r="C190" s="3" t="s">
        <v>325</v>
      </c>
      <c r="D190" s="1" t="s">
        <v>343</v>
      </c>
      <c r="E190" s="1" t="s">
        <v>567</v>
      </c>
      <c r="F190" s="1" t="str">
        <f t="shared" si="16"/>
        <v>EX</v>
      </c>
      <c r="G190" s="1" t="str">
        <f t="shared" si="17"/>
        <v>MT</v>
      </c>
      <c r="H190" s="1" t="str">
        <f t="shared" si="18"/>
        <v>Primavera do Leste</v>
      </c>
    </row>
    <row r="191" spans="1:8" x14ac:dyDescent="0.3">
      <c r="A191" t="s">
        <v>146</v>
      </c>
      <c r="B191" s="1">
        <v>432</v>
      </c>
      <c r="C191" s="3" t="s">
        <v>325</v>
      </c>
      <c r="D191" s="1" t="s">
        <v>343</v>
      </c>
      <c r="E191" s="1" t="s">
        <v>567</v>
      </c>
      <c r="F191" s="1" t="str">
        <f t="shared" si="16"/>
        <v>EX</v>
      </c>
      <c r="G191" s="1" t="str">
        <f t="shared" si="17"/>
        <v>MT</v>
      </c>
      <c r="H191" s="1" t="str">
        <f t="shared" si="18"/>
        <v>Primavera do Leste</v>
      </c>
    </row>
    <row r="192" spans="1:8" x14ac:dyDescent="0.3">
      <c r="A192" t="s">
        <v>147</v>
      </c>
      <c r="B192" s="1">
        <v>553</v>
      </c>
      <c r="C192" s="3" t="s">
        <v>325</v>
      </c>
      <c r="D192" s="1" t="s">
        <v>343</v>
      </c>
      <c r="E192" s="1" t="s">
        <v>567</v>
      </c>
      <c r="F192" s="1" t="str">
        <f t="shared" si="16"/>
        <v>EX</v>
      </c>
      <c r="G192" s="1" t="str">
        <f t="shared" si="17"/>
        <v>MT</v>
      </c>
      <c r="H192" s="1" t="str">
        <f t="shared" si="18"/>
        <v>Primavera do Leste</v>
      </c>
    </row>
    <row r="193" spans="1:8" x14ac:dyDescent="0.3">
      <c r="A193" t="s">
        <v>148</v>
      </c>
      <c r="B193" s="1">
        <v>560</v>
      </c>
      <c r="C193" s="3" t="s">
        <v>325</v>
      </c>
      <c r="D193" s="1" t="s">
        <v>343</v>
      </c>
      <c r="E193" s="1" t="s">
        <v>567</v>
      </c>
      <c r="F193" s="1" t="str">
        <f t="shared" si="16"/>
        <v>EX</v>
      </c>
      <c r="G193" s="1" t="str">
        <f t="shared" si="17"/>
        <v>MT</v>
      </c>
      <c r="H193" s="1" t="str">
        <f t="shared" si="18"/>
        <v>Primavera do Leste</v>
      </c>
    </row>
    <row r="194" spans="1:8" x14ac:dyDescent="0.3">
      <c r="A194" t="s">
        <v>149</v>
      </c>
      <c r="B194" s="1">
        <v>458</v>
      </c>
      <c r="C194" s="1" t="s">
        <v>44</v>
      </c>
      <c r="D194" s="1" t="s">
        <v>336</v>
      </c>
      <c r="E194" s="1" t="s">
        <v>566</v>
      </c>
      <c r="F194" s="1" t="str">
        <f t="shared" si="16"/>
        <v>SP</v>
      </c>
      <c r="G194" s="1" t="str">
        <f t="shared" si="17"/>
        <v>SP</v>
      </c>
      <c r="H194" s="1" t="str">
        <f t="shared" si="18"/>
        <v>Ribeirão Preto</v>
      </c>
    </row>
    <row r="195" spans="1:8" x14ac:dyDescent="0.3">
      <c r="A195" t="s">
        <v>150</v>
      </c>
      <c r="B195" s="1">
        <v>407</v>
      </c>
      <c r="C195" s="1" t="s">
        <v>44</v>
      </c>
      <c r="D195" s="1" t="s">
        <v>336</v>
      </c>
      <c r="E195" s="1" t="s">
        <v>566</v>
      </c>
      <c r="F195" s="1" t="str">
        <f t="shared" si="16"/>
        <v>SP</v>
      </c>
      <c r="G195" s="1" t="str">
        <f t="shared" si="17"/>
        <v>SP</v>
      </c>
      <c r="H195" s="1" t="str">
        <f t="shared" si="18"/>
        <v>Ribeirão Preto</v>
      </c>
    </row>
    <row r="196" spans="1:8" x14ac:dyDescent="0.3">
      <c r="A196" t="s">
        <v>151</v>
      </c>
      <c r="B196" s="1">
        <v>272</v>
      </c>
      <c r="C196" s="1" t="s">
        <v>44</v>
      </c>
      <c r="D196" s="1" t="s">
        <v>336</v>
      </c>
      <c r="E196" s="1" t="s">
        <v>566</v>
      </c>
      <c r="F196" s="1" t="str">
        <f t="shared" si="16"/>
        <v>SP</v>
      </c>
      <c r="G196" s="1" t="str">
        <f t="shared" si="17"/>
        <v>SP</v>
      </c>
      <c r="H196" s="1" t="str">
        <f t="shared" si="18"/>
        <v>Ribeirão Preto</v>
      </c>
    </row>
    <row r="197" spans="1:8" x14ac:dyDescent="0.3">
      <c r="A197" t="s">
        <v>152</v>
      </c>
      <c r="B197" s="1">
        <v>215</v>
      </c>
      <c r="C197" s="1" t="s">
        <v>44</v>
      </c>
      <c r="D197" s="1" t="s">
        <v>336</v>
      </c>
      <c r="E197" s="1" t="s">
        <v>566</v>
      </c>
      <c r="F197" s="1" t="str">
        <f t="shared" si="16"/>
        <v>SP</v>
      </c>
      <c r="G197" s="1" t="str">
        <f t="shared" si="17"/>
        <v>SP</v>
      </c>
      <c r="H197" s="1" t="str">
        <f t="shared" si="18"/>
        <v>Ribeirão Preto</v>
      </c>
    </row>
    <row r="198" spans="1:8" x14ac:dyDescent="0.3">
      <c r="A198" t="s">
        <v>153</v>
      </c>
      <c r="B198" s="1">
        <v>406</v>
      </c>
      <c r="C198" s="1" t="s">
        <v>44</v>
      </c>
      <c r="D198" s="1" t="s">
        <v>336</v>
      </c>
      <c r="E198" s="1" t="s">
        <v>566</v>
      </c>
      <c r="F198" s="1" t="str">
        <f t="shared" ref="F198:F215" si="19">IF(LEFT(E198,2)="SP","SP","EX")</f>
        <v>SP</v>
      </c>
      <c r="G198" s="1" t="str">
        <f t="shared" ref="G198:G215" si="20">LEFT(E198,2)</f>
        <v>SP</v>
      </c>
      <c r="H198" s="1" t="str">
        <f t="shared" si="18"/>
        <v>Ribeirão Preto</v>
      </c>
    </row>
    <row r="199" spans="1:8" x14ac:dyDescent="0.3">
      <c r="A199" t="s">
        <v>154</v>
      </c>
      <c r="B199" s="1">
        <v>386</v>
      </c>
      <c r="C199" s="1" t="s">
        <v>44</v>
      </c>
      <c r="D199" s="1" t="s">
        <v>336</v>
      </c>
      <c r="E199" s="1" t="s">
        <v>566</v>
      </c>
      <c r="F199" s="1" t="str">
        <f t="shared" si="19"/>
        <v>SP</v>
      </c>
      <c r="G199" s="1" t="str">
        <f t="shared" si="20"/>
        <v>SP</v>
      </c>
      <c r="H199" s="1" t="str">
        <f t="shared" si="18"/>
        <v>Ribeirão Preto</v>
      </c>
    </row>
    <row r="200" spans="1:8" x14ac:dyDescent="0.3">
      <c r="A200" t="s">
        <v>155</v>
      </c>
      <c r="B200" s="1">
        <v>399</v>
      </c>
      <c r="C200" s="1" t="s">
        <v>44</v>
      </c>
      <c r="D200" s="1" t="s">
        <v>336</v>
      </c>
      <c r="E200" s="1" t="s">
        <v>566</v>
      </c>
      <c r="F200" s="1" t="str">
        <f t="shared" si="19"/>
        <v>SP</v>
      </c>
      <c r="G200" s="1" t="str">
        <f t="shared" si="20"/>
        <v>SP</v>
      </c>
      <c r="H200" s="1" t="str">
        <f t="shared" si="18"/>
        <v>Ribeirão Preto</v>
      </c>
    </row>
    <row r="201" spans="1:8" x14ac:dyDescent="0.3">
      <c r="A201" t="s">
        <v>156</v>
      </c>
      <c r="B201" s="1">
        <v>435</v>
      </c>
      <c r="C201" s="1" t="s">
        <v>44</v>
      </c>
      <c r="D201" s="1" t="s">
        <v>336</v>
      </c>
      <c r="E201" s="1" t="s">
        <v>566</v>
      </c>
      <c r="F201" s="1" t="str">
        <f t="shared" si="19"/>
        <v>SP</v>
      </c>
      <c r="G201" s="1" t="str">
        <f t="shared" si="20"/>
        <v>SP</v>
      </c>
      <c r="H201" s="1" t="str">
        <f t="shared" si="18"/>
        <v>Ribeirão Preto</v>
      </c>
    </row>
    <row r="202" spans="1:8" x14ac:dyDescent="0.3">
      <c r="A202" t="s">
        <v>157</v>
      </c>
      <c r="B202" s="1">
        <v>436</v>
      </c>
      <c r="C202" s="1" t="s">
        <v>44</v>
      </c>
      <c r="D202" s="1" t="s">
        <v>336</v>
      </c>
      <c r="E202" s="1" t="s">
        <v>566</v>
      </c>
      <c r="F202" s="1" t="str">
        <f t="shared" si="19"/>
        <v>SP</v>
      </c>
      <c r="G202" s="1" t="str">
        <f t="shared" si="20"/>
        <v>SP</v>
      </c>
      <c r="H202" s="1" t="str">
        <f t="shared" si="18"/>
        <v>Ribeirão Preto</v>
      </c>
    </row>
    <row r="203" spans="1:8" x14ac:dyDescent="0.3">
      <c r="A203" t="s">
        <v>158</v>
      </c>
      <c r="B203" s="1">
        <v>345</v>
      </c>
      <c r="C203" s="1" t="s">
        <v>323</v>
      </c>
      <c r="D203" s="1" t="s">
        <v>336</v>
      </c>
      <c r="E203" s="1" t="s">
        <v>568</v>
      </c>
      <c r="F203" s="1" t="str">
        <f t="shared" si="19"/>
        <v>SP</v>
      </c>
      <c r="G203" s="1" t="str">
        <f t="shared" si="20"/>
        <v>SP</v>
      </c>
      <c r="H203" s="1" t="str">
        <f t="shared" si="18"/>
        <v>Rio Preto</v>
      </c>
    </row>
    <row r="204" spans="1:8" x14ac:dyDescent="0.3">
      <c r="A204" t="s">
        <v>159</v>
      </c>
      <c r="B204" s="1">
        <v>437</v>
      </c>
      <c r="C204" s="1" t="s">
        <v>323</v>
      </c>
      <c r="D204" s="1" t="s">
        <v>336</v>
      </c>
      <c r="E204" s="1" t="s">
        <v>568</v>
      </c>
      <c r="F204" s="1" t="str">
        <f t="shared" si="19"/>
        <v>SP</v>
      </c>
      <c r="G204" s="1" t="str">
        <f t="shared" si="20"/>
        <v>SP</v>
      </c>
      <c r="H204" s="1" t="str">
        <f t="shared" si="18"/>
        <v>Rio Preto</v>
      </c>
    </row>
    <row r="205" spans="1:8" x14ac:dyDescent="0.3">
      <c r="A205" t="s">
        <v>160</v>
      </c>
      <c r="B205" s="1">
        <v>438</v>
      </c>
      <c r="C205" s="1" t="s">
        <v>323</v>
      </c>
      <c r="D205" s="1" t="s">
        <v>336</v>
      </c>
      <c r="E205" s="1" t="s">
        <v>568</v>
      </c>
      <c r="F205" s="1" t="str">
        <f t="shared" si="19"/>
        <v>SP</v>
      </c>
      <c r="G205" s="1" t="str">
        <f t="shared" si="20"/>
        <v>SP</v>
      </c>
      <c r="H205" s="1" t="str">
        <f t="shared" si="18"/>
        <v>Rio Preto</v>
      </c>
    </row>
    <row r="206" spans="1:8" x14ac:dyDescent="0.3">
      <c r="A206" t="s">
        <v>161</v>
      </c>
      <c r="B206" s="1">
        <v>439</v>
      </c>
      <c r="C206" s="1" t="s">
        <v>323</v>
      </c>
      <c r="D206" s="1" t="s">
        <v>336</v>
      </c>
      <c r="E206" s="1" t="s">
        <v>568</v>
      </c>
      <c r="F206" s="1" t="str">
        <f t="shared" si="19"/>
        <v>SP</v>
      </c>
      <c r="G206" s="1" t="str">
        <f t="shared" si="20"/>
        <v>SP</v>
      </c>
      <c r="H206" s="1" t="str">
        <f t="shared" si="18"/>
        <v>Rio Preto</v>
      </c>
    </row>
    <row r="207" spans="1:8" x14ac:dyDescent="0.3">
      <c r="A207" t="s">
        <v>162</v>
      </c>
      <c r="B207" s="1">
        <v>440</v>
      </c>
      <c r="C207" s="1" t="s">
        <v>323</v>
      </c>
      <c r="D207" s="1" t="s">
        <v>336</v>
      </c>
      <c r="E207" s="1" t="s">
        <v>568</v>
      </c>
      <c r="F207" s="1" t="str">
        <f t="shared" si="19"/>
        <v>SP</v>
      </c>
      <c r="G207" s="1" t="str">
        <f t="shared" si="20"/>
        <v>SP</v>
      </c>
      <c r="H207" s="1" t="str">
        <f t="shared" si="18"/>
        <v>Rio Preto</v>
      </c>
    </row>
    <row r="208" spans="1:8" x14ac:dyDescent="0.3">
      <c r="A208" t="s">
        <v>163</v>
      </c>
      <c r="B208" s="1">
        <v>372</v>
      </c>
      <c r="C208" s="1" t="s">
        <v>323</v>
      </c>
      <c r="D208" s="1" t="s">
        <v>336</v>
      </c>
      <c r="E208" s="1" t="s">
        <v>568</v>
      </c>
      <c r="F208" s="1" t="str">
        <f t="shared" si="19"/>
        <v>SP</v>
      </c>
      <c r="G208" s="1" t="str">
        <f t="shared" si="20"/>
        <v>SP</v>
      </c>
      <c r="H208" s="1" t="str">
        <f t="shared" si="18"/>
        <v>Rio Preto</v>
      </c>
    </row>
    <row r="209" spans="1:8" x14ac:dyDescent="0.3">
      <c r="A209" t="s">
        <v>304</v>
      </c>
      <c r="B209" s="1">
        <v>291</v>
      </c>
      <c r="C209" s="1" t="s">
        <v>323</v>
      </c>
      <c r="D209" s="1" t="s">
        <v>336</v>
      </c>
      <c r="E209" s="1" t="s">
        <v>568</v>
      </c>
      <c r="F209" s="1" t="str">
        <f t="shared" si="19"/>
        <v>SP</v>
      </c>
      <c r="G209" s="1" t="str">
        <f t="shared" si="20"/>
        <v>SP</v>
      </c>
      <c r="H209" s="1" t="str">
        <f t="shared" si="18"/>
        <v>Rio Preto</v>
      </c>
    </row>
    <row r="210" spans="1:8" x14ac:dyDescent="0.3">
      <c r="A210" t="s">
        <v>164</v>
      </c>
      <c r="B210" s="1">
        <v>321</v>
      </c>
      <c r="C210" s="1" t="s">
        <v>323</v>
      </c>
      <c r="D210" s="1" t="s">
        <v>336</v>
      </c>
      <c r="E210" s="1" t="s">
        <v>568</v>
      </c>
      <c r="F210" s="1" t="str">
        <f t="shared" si="19"/>
        <v>SP</v>
      </c>
      <c r="G210" s="1" t="str">
        <f t="shared" si="20"/>
        <v>SP</v>
      </c>
      <c r="H210" s="1" t="str">
        <f t="shared" si="18"/>
        <v>Rio Preto</v>
      </c>
    </row>
    <row r="211" spans="1:8" x14ac:dyDescent="0.3">
      <c r="A211" t="s">
        <v>165</v>
      </c>
      <c r="B211" s="1">
        <v>322</v>
      </c>
      <c r="C211" s="1" t="s">
        <v>323</v>
      </c>
      <c r="D211" s="1" t="s">
        <v>336</v>
      </c>
      <c r="E211" s="1" t="s">
        <v>568</v>
      </c>
      <c r="F211" s="1" t="str">
        <f t="shared" si="19"/>
        <v>SP</v>
      </c>
      <c r="G211" s="1" t="str">
        <f t="shared" si="20"/>
        <v>SP</v>
      </c>
      <c r="H211" s="1" t="str">
        <f t="shared" si="18"/>
        <v>Rio Preto</v>
      </c>
    </row>
    <row r="212" spans="1:8" x14ac:dyDescent="0.3">
      <c r="A212" t="s">
        <v>305</v>
      </c>
      <c r="B212" s="1">
        <v>209</v>
      </c>
      <c r="C212" s="1" t="s">
        <v>323</v>
      </c>
      <c r="D212" s="1" t="s">
        <v>336</v>
      </c>
      <c r="E212" s="1" t="s">
        <v>568</v>
      </c>
      <c r="F212" s="1" t="str">
        <f t="shared" si="19"/>
        <v>SP</v>
      </c>
      <c r="G212" s="1" t="str">
        <f t="shared" si="20"/>
        <v>SP</v>
      </c>
      <c r="H212" s="1" t="str">
        <f t="shared" si="18"/>
        <v>Rio Preto</v>
      </c>
    </row>
    <row r="213" spans="1:8" x14ac:dyDescent="0.3">
      <c r="A213" t="s">
        <v>306</v>
      </c>
      <c r="B213" s="1">
        <v>239</v>
      </c>
      <c r="C213" s="1" t="s">
        <v>323</v>
      </c>
      <c r="D213" s="1" t="s">
        <v>336</v>
      </c>
      <c r="E213" s="1" t="s">
        <v>568</v>
      </c>
      <c r="F213" s="1" t="str">
        <f t="shared" si="19"/>
        <v>SP</v>
      </c>
      <c r="G213" s="1" t="str">
        <f t="shared" si="20"/>
        <v>SP</v>
      </c>
      <c r="H213" s="1" t="str">
        <f t="shared" si="18"/>
        <v>Rio Preto</v>
      </c>
    </row>
    <row r="214" spans="1:8" x14ac:dyDescent="0.3">
      <c r="A214" t="s">
        <v>307</v>
      </c>
      <c r="B214" s="1">
        <v>290</v>
      </c>
      <c r="C214" s="1" t="s">
        <v>323</v>
      </c>
      <c r="D214" s="1" t="s">
        <v>336</v>
      </c>
      <c r="E214" s="1" t="s">
        <v>568</v>
      </c>
      <c r="F214" s="1" t="str">
        <f t="shared" si="19"/>
        <v>SP</v>
      </c>
      <c r="G214" s="1" t="str">
        <f t="shared" si="20"/>
        <v>SP</v>
      </c>
      <c r="H214" s="1" t="str">
        <f t="shared" si="18"/>
        <v>Rio Preto</v>
      </c>
    </row>
    <row r="215" spans="1:8" x14ac:dyDescent="0.3">
      <c r="A215" t="s">
        <v>166</v>
      </c>
      <c r="B215" s="1">
        <v>597</v>
      </c>
      <c r="C215" s="1" t="s">
        <v>323</v>
      </c>
      <c r="D215" s="1" t="s">
        <v>336</v>
      </c>
      <c r="E215" s="1" t="s">
        <v>568</v>
      </c>
      <c r="F215" s="1" t="str">
        <f t="shared" si="19"/>
        <v>SP</v>
      </c>
      <c r="G215" s="1" t="str">
        <f t="shared" si="20"/>
        <v>SP</v>
      </c>
      <c r="H215" s="1" t="str">
        <f t="shared" si="18"/>
        <v>Rio Preto</v>
      </c>
    </row>
    <row r="216" spans="1:8" x14ac:dyDescent="0.3">
      <c r="A216" s="7" t="s">
        <v>554</v>
      </c>
      <c r="B216" s="1">
        <v>183</v>
      </c>
      <c r="E216" s="1" t="s">
        <v>568</v>
      </c>
      <c r="F216" s="1" t="str">
        <f t="shared" ref="F216:F232" si="21">IF(LEFT(E216,2)="SP","SP","EX")</f>
        <v>SP</v>
      </c>
      <c r="G216" s="1" t="str">
        <f t="shared" ref="G216:G232" si="22">LEFT(E216,2)</f>
        <v>SP</v>
      </c>
      <c r="H216"/>
    </row>
    <row r="217" spans="1:8" x14ac:dyDescent="0.3">
      <c r="A217" t="s">
        <v>308</v>
      </c>
      <c r="B217" s="1">
        <v>218</v>
      </c>
      <c r="C217" s="1" t="s">
        <v>323</v>
      </c>
      <c r="D217" s="1" t="s">
        <v>336</v>
      </c>
      <c r="E217" s="1" t="s">
        <v>568</v>
      </c>
      <c r="F217" s="1" t="str">
        <f t="shared" si="21"/>
        <v>SP</v>
      </c>
      <c r="G217" s="1" t="str">
        <f t="shared" si="22"/>
        <v>SP</v>
      </c>
      <c r="H217" s="1" t="str">
        <f t="shared" ref="H217:H257" si="23">LEFT(A217,FIND(" (",A217)-1)</f>
        <v>Rio Preto</v>
      </c>
    </row>
    <row r="218" spans="1:8" x14ac:dyDescent="0.3">
      <c r="A218" t="s">
        <v>309</v>
      </c>
      <c r="B218" s="1">
        <v>336</v>
      </c>
      <c r="C218" s="1" t="s">
        <v>323</v>
      </c>
      <c r="D218" s="1" t="s">
        <v>336</v>
      </c>
      <c r="E218" s="1" t="s">
        <v>568</v>
      </c>
      <c r="F218" s="1" t="str">
        <f t="shared" si="21"/>
        <v>SP</v>
      </c>
      <c r="G218" s="1" t="str">
        <f t="shared" si="22"/>
        <v>SP</v>
      </c>
      <c r="H218" s="1" t="str">
        <f t="shared" si="23"/>
        <v>Rio Preto</v>
      </c>
    </row>
    <row r="219" spans="1:8" x14ac:dyDescent="0.3">
      <c r="A219" t="s">
        <v>167</v>
      </c>
      <c r="B219" s="1">
        <v>479</v>
      </c>
      <c r="C219" s="1" t="s">
        <v>323</v>
      </c>
      <c r="D219" s="1" t="s">
        <v>336</v>
      </c>
      <c r="E219" s="1" t="s">
        <v>568</v>
      </c>
      <c r="F219" s="1" t="str">
        <f t="shared" si="21"/>
        <v>SP</v>
      </c>
      <c r="G219" s="1" t="str">
        <f t="shared" si="22"/>
        <v>SP</v>
      </c>
      <c r="H219" s="1" t="str">
        <f t="shared" si="23"/>
        <v>Rio Preto</v>
      </c>
    </row>
    <row r="220" spans="1:8" x14ac:dyDescent="0.3">
      <c r="A220" t="s">
        <v>168</v>
      </c>
      <c r="B220" s="1">
        <v>480</v>
      </c>
      <c r="C220" s="1" t="s">
        <v>323</v>
      </c>
      <c r="D220" s="1" t="s">
        <v>336</v>
      </c>
      <c r="E220" s="1" t="s">
        <v>568</v>
      </c>
      <c r="F220" s="1" t="str">
        <f t="shared" si="21"/>
        <v>SP</v>
      </c>
      <c r="G220" s="1" t="str">
        <f t="shared" si="22"/>
        <v>SP</v>
      </c>
      <c r="H220" s="1" t="str">
        <f t="shared" si="23"/>
        <v>Rio Preto</v>
      </c>
    </row>
    <row r="221" spans="1:8" x14ac:dyDescent="0.3">
      <c r="A221" t="s">
        <v>169</v>
      </c>
      <c r="B221" s="1">
        <v>481</v>
      </c>
      <c r="C221" s="1" t="s">
        <v>323</v>
      </c>
      <c r="D221" s="1" t="s">
        <v>336</v>
      </c>
      <c r="E221" s="1" t="s">
        <v>568</v>
      </c>
      <c r="F221" s="1" t="str">
        <f t="shared" si="21"/>
        <v>SP</v>
      </c>
      <c r="G221" s="1" t="str">
        <f t="shared" si="22"/>
        <v>SP</v>
      </c>
      <c r="H221" s="1" t="str">
        <f t="shared" si="23"/>
        <v>Rio Preto</v>
      </c>
    </row>
    <row r="222" spans="1:8" x14ac:dyDescent="0.3">
      <c r="A222" t="s">
        <v>170</v>
      </c>
      <c r="B222" s="1">
        <v>482</v>
      </c>
      <c r="C222" s="1" t="s">
        <v>323</v>
      </c>
      <c r="D222" s="1" t="s">
        <v>336</v>
      </c>
      <c r="E222" s="1" t="s">
        <v>568</v>
      </c>
      <c r="F222" s="1" t="str">
        <f t="shared" si="21"/>
        <v>SP</v>
      </c>
      <c r="G222" s="1" t="str">
        <f t="shared" si="22"/>
        <v>SP</v>
      </c>
      <c r="H222" s="1" t="str">
        <f t="shared" si="23"/>
        <v>Rio Preto</v>
      </c>
    </row>
    <row r="223" spans="1:8" x14ac:dyDescent="0.3">
      <c r="A223" t="s">
        <v>171</v>
      </c>
      <c r="B223" s="1">
        <v>405</v>
      </c>
      <c r="C223" s="1" t="s">
        <v>323</v>
      </c>
      <c r="D223" s="1" t="s">
        <v>336</v>
      </c>
      <c r="E223" s="1" t="s">
        <v>568</v>
      </c>
      <c r="F223" s="1" t="str">
        <f t="shared" si="21"/>
        <v>SP</v>
      </c>
      <c r="G223" s="1" t="str">
        <f t="shared" si="22"/>
        <v>SP</v>
      </c>
      <c r="H223" s="1" t="str">
        <f t="shared" si="23"/>
        <v>Rio Preto</v>
      </c>
    </row>
    <row r="224" spans="1:8" x14ac:dyDescent="0.3">
      <c r="A224" t="s">
        <v>172</v>
      </c>
      <c r="B224" s="1">
        <v>429</v>
      </c>
      <c r="C224" s="1" t="s">
        <v>323</v>
      </c>
      <c r="D224" s="1" t="s">
        <v>336</v>
      </c>
      <c r="E224" s="1" t="s">
        <v>568</v>
      </c>
      <c r="F224" s="1" t="str">
        <f t="shared" si="21"/>
        <v>SP</v>
      </c>
      <c r="G224" s="1" t="str">
        <f t="shared" si="22"/>
        <v>SP</v>
      </c>
      <c r="H224" s="1" t="str">
        <f t="shared" si="23"/>
        <v>Rio Preto</v>
      </c>
    </row>
    <row r="225" spans="1:8" x14ac:dyDescent="0.3">
      <c r="A225" t="s">
        <v>310</v>
      </c>
      <c r="B225" s="1">
        <v>313</v>
      </c>
      <c r="C225" s="1" t="s">
        <v>323</v>
      </c>
      <c r="D225" s="1" t="s">
        <v>336</v>
      </c>
      <c r="E225" s="1" t="s">
        <v>568</v>
      </c>
      <c r="F225" s="1" t="str">
        <f t="shared" si="21"/>
        <v>SP</v>
      </c>
      <c r="G225" s="1" t="str">
        <f t="shared" si="22"/>
        <v>SP</v>
      </c>
      <c r="H225" s="1" t="str">
        <f t="shared" si="23"/>
        <v>Rio Preto</v>
      </c>
    </row>
    <row r="226" spans="1:8" x14ac:dyDescent="0.3">
      <c r="A226" t="s">
        <v>173</v>
      </c>
      <c r="B226" s="1">
        <v>213</v>
      </c>
      <c r="C226" s="1" t="s">
        <v>323</v>
      </c>
      <c r="D226" s="1" t="s">
        <v>336</v>
      </c>
      <c r="E226" s="1" t="s">
        <v>568</v>
      </c>
      <c r="F226" s="1" t="str">
        <f t="shared" si="21"/>
        <v>SP</v>
      </c>
      <c r="G226" s="1" t="str">
        <f t="shared" si="22"/>
        <v>SP</v>
      </c>
      <c r="H226" s="1" t="str">
        <f t="shared" si="23"/>
        <v>Rio Preto</v>
      </c>
    </row>
    <row r="227" spans="1:8" x14ac:dyDescent="0.3">
      <c r="A227" t="s">
        <v>174</v>
      </c>
      <c r="B227" s="1">
        <v>478</v>
      </c>
      <c r="C227" s="1" t="s">
        <v>323</v>
      </c>
      <c r="D227" s="1" t="s">
        <v>336</v>
      </c>
      <c r="E227" s="1" t="s">
        <v>568</v>
      </c>
      <c r="F227" s="1" t="str">
        <f t="shared" si="21"/>
        <v>SP</v>
      </c>
      <c r="G227" s="1" t="str">
        <f t="shared" si="22"/>
        <v>SP</v>
      </c>
      <c r="H227" s="1" t="str">
        <f t="shared" si="23"/>
        <v>Rio Preto</v>
      </c>
    </row>
    <row r="228" spans="1:8" x14ac:dyDescent="0.3">
      <c r="A228" t="s">
        <v>175</v>
      </c>
      <c r="B228" s="1">
        <v>589</v>
      </c>
      <c r="C228" s="1" t="s">
        <v>323</v>
      </c>
      <c r="D228" s="1" t="s">
        <v>336</v>
      </c>
      <c r="E228" s="1" t="s">
        <v>568</v>
      </c>
      <c r="F228" s="1" t="str">
        <f t="shared" si="21"/>
        <v>SP</v>
      </c>
      <c r="G228" s="1" t="str">
        <f t="shared" si="22"/>
        <v>SP</v>
      </c>
      <c r="H228" s="1" t="str">
        <f t="shared" si="23"/>
        <v>Rio Preto</v>
      </c>
    </row>
    <row r="229" spans="1:8" x14ac:dyDescent="0.3">
      <c r="A229" t="s">
        <v>176</v>
      </c>
      <c r="B229" s="1">
        <v>590</v>
      </c>
      <c r="C229" s="1" t="s">
        <v>323</v>
      </c>
      <c r="D229" s="1" t="s">
        <v>336</v>
      </c>
      <c r="E229" s="1" t="s">
        <v>568</v>
      </c>
      <c r="F229" s="1" t="str">
        <f t="shared" si="21"/>
        <v>SP</v>
      </c>
      <c r="G229" s="1" t="str">
        <f t="shared" si="22"/>
        <v>SP</v>
      </c>
      <c r="H229" s="1" t="str">
        <f t="shared" si="23"/>
        <v>Rio Preto</v>
      </c>
    </row>
    <row r="230" spans="1:8" x14ac:dyDescent="0.3">
      <c r="A230" t="s">
        <v>177</v>
      </c>
      <c r="B230" s="1">
        <v>185</v>
      </c>
      <c r="C230" s="1" t="s">
        <v>323</v>
      </c>
      <c r="D230" s="1" t="s">
        <v>336</v>
      </c>
      <c r="E230" s="1" t="s">
        <v>568</v>
      </c>
      <c r="F230" s="1" t="str">
        <f t="shared" si="21"/>
        <v>SP</v>
      </c>
      <c r="G230" s="1" t="str">
        <f t="shared" si="22"/>
        <v>SP</v>
      </c>
      <c r="H230" s="1" t="str">
        <f t="shared" si="23"/>
        <v>Rio Preto</v>
      </c>
    </row>
    <row r="231" spans="1:8" x14ac:dyDescent="0.3">
      <c r="A231" t="s">
        <v>178</v>
      </c>
      <c r="B231" s="1">
        <v>431</v>
      </c>
      <c r="C231" s="1" t="s">
        <v>323</v>
      </c>
      <c r="D231" s="1" t="s">
        <v>336</v>
      </c>
      <c r="E231" s="1" t="s">
        <v>568</v>
      </c>
      <c r="F231" s="1" t="str">
        <f t="shared" si="21"/>
        <v>SP</v>
      </c>
      <c r="G231" s="1" t="str">
        <f t="shared" si="22"/>
        <v>SP</v>
      </c>
      <c r="H231" s="1" t="str">
        <f t="shared" si="23"/>
        <v>Rio Preto</v>
      </c>
    </row>
    <row r="232" spans="1:8" x14ac:dyDescent="0.3">
      <c r="A232" t="s">
        <v>311</v>
      </c>
      <c r="B232" s="1">
        <v>395</v>
      </c>
      <c r="C232" s="1" t="s">
        <v>323</v>
      </c>
      <c r="D232" s="1" t="s">
        <v>336</v>
      </c>
      <c r="E232" s="1" t="s">
        <v>568</v>
      </c>
      <c r="F232" s="1" t="str">
        <f t="shared" si="21"/>
        <v>SP</v>
      </c>
      <c r="G232" s="1" t="str">
        <f t="shared" si="22"/>
        <v>SP</v>
      </c>
      <c r="H232" s="1" t="str">
        <f t="shared" si="23"/>
        <v>Rio Preto</v>
      </c>
    </row>
    <row r="233" spans="1:8" x14ac:dyDescent="0.3">
      <c r="A233" t="s">
        <v>179</v>
      </c>
      <c r="B233" s="1">
        <v>306</v>
      </c>
      <c r="C233" s="3" t="s">
        <v>325</v>
      </c>
      <c r="D233" s="1" t="s">
        <v>343</v>
      </c>
      <c r="E233" s="1" t="s">
        <v>567</v>
      </c>
      <c r="F233" s="1" t="str">
        <f t="shared" ref="F233:F257" si="24">IF(LEFT(E233,2)="SP","SP","EX")</f>
        <v>EX</v>
      </c>
      <c r="G233" s="1" t="str">
        <f t="shared" ref="G233:G257" si="25">LEFT(E233,2)</f>
        <v>MT</v>
      </c>
      <c r="H233" s="1" t="str">
        <f t="shared" si="23"/>
        <v>Rondonópolis</v>
      </c>
    </row>
    <row r="234" spans="1:8" x14ac:dyDescent="0.3">
      <c r="A234" t="s">
        <v>180</v>
      </c>
      <c r="B234" s="1">
        <v>485</v>
      </c>
      <c r="C234" s="3" t="s">
        <v>325</v>
      </c>
      <c r="D234" s="1" t="s">
        <v>343</v>
      </c>
      <c r="E234" s="1" t="s">
        <v>567</v>
      </c>
      <c r="F234" s="1" t="str">
        <f t="shared" si="24"/>
        <v>EX</v>
      </c>
      <c r="G234" s="1" t="str">
        <f t="shared" si="25"/>
        <v>MT</v>
      </c>
      <c r="H234" s="1" t="str">
        <f t="shared" si="23"/>
        <v>Rondonópolis</v>
      </c>
    </row>
    <row r="235" spans="1:8" x14ac:dyDescent="0.3">
      <c r="A235" t="s">
        <v>312</v>
      </c>
      <c r="B235" s="1">
        <v>216</v>
      </c>
      <c r="C235" s="1" t="s">
        <v>322</v>
      </c>
      <c r="D235" s="1" t="s">
        <v>338</v>
      </c>
      <c r="E235" s="1" t="s">
        <v>570</v>
      </c>
      <c r="F235" s="1" t="str">
        <f t="shared" si="24"/>
        <v>SP</v>
      </c>
      <c r="G235" s="1" t="str">
        <f t="shared" si="25"/>
        <v>SP</v>
      </c>
      <c r="H235" s="1" t="str">
        <f t="shared" si="23"/>
        <v>Salto de Pirapora</v>
      </c>
    </row>
    <row r="236" spans="1:8" x14ac:dyDescent="0.3">
      <c r="A236" t="s">
        <v>313</v>
      </c>
      <c r="B236" s="1">
        <v>299</v>
      </c>
      <c r="C236" s="1" t="s">
        <v>322</v>
      </c>
      <c r="D236" s="1" t="s">
        <v>338</v>
      </c>
      <c r="E236" s="1" t="s">
        <v>570</v>
      </c>
      <c r="F236" s="1" t="str">
        <f t="shared" si="24"/>
        <v>SP</v>
      </c>
      <c r="G236" s="1" t="str">
        <f t="shared" si="25"/>
        <v>SP</v>
      </c>
      <c r="H236" s="1" t="str">
        <f t="shared" si="23"/>
        <v>Salto de Pirapora</v>
      </c>
    </row>
    <row r="237" spans="1:8" x14ac:dyDescent="0.3">
      <c r="A237" t="s">
        <v>181</v>
      </c>
      <c r="B237" s="1">
        <v>277</v>
      </c>
      <c r="C237" s="1" t="s">
        <v>44</v>
      </c>
      <c r="D237" s="1" t="s">
        <v>337</v>
      </c>
      <c r="E237" s="1" t="s">
        <v>566</v>
      </c>
      <c r="F237" s="1" t="str">
        <f t="shared" si="24"/>
        <v>SP</v>
      </c>
      <c r="G237" s="1" t="str">
        <f t="shared" si="25"/>
        <v>SP</v>
      </c>
      <c r="H237" s="1" t="str">
        <f t="shared" si="23"/>
        <v>São Carlos</v>
      </c>
    </row>
    <row r="238" spans="1:8" x14ac:dyDescent="0.3">
      <c r="A238" t="s">
        <v>182</v>
      </c>
      <c r="B238" s="1">
        <v>337</v>
      </c>
      <c r="C238" s="1" t="s">
        <v>44</v>
      </c>
      <c r="D238" s="1" t="s">
        <v>337</v>
      </c>
      <c r="E238" s="1" t="s">
        <v>566</v>
      </c>
      <c r="F238" s="1" t="str">
        <f t="shared" si="24"/>
        <v>SP</v>
      </c>
      <c r="G238" s="1" t="str">
        <f t="shared" si="25"/>
        <v>SP</v>
      </c>
      <c r="H238" s="1" t="str">
        <f t="shared" si="23"/>
        <v>São Carlos</v>
      </c>
    </row>
    <row r="239" spans="1:8" x14ac:dyDescent="0.3">
      <c r="A239" t="s">
        <v>183</v>
      </c>
      <c r="B239" s="1">
        <v>278</v>
      </c>
      <c r="C239" s="1" t="s">
        <v>44</v>
      </c>
      <c r="D239" s="1" t="s">
        <v>337</v>
      </c>
      <c r="E239" s="1" t="s">
        <v>566</v>
      </c>
      <c r="F239" s="1" t="str">
        <f t="shared" si="24"/>
        <v>SP</v>
      </c>
      <c r="G239" s="1" t="str">
        <f t="shared" si="25"/>
        <v>SP</v>
      </c>
      <c r="H239" s="1" t="str">
        <f t="shared" si="23"/>
        <v>São Carlos</v>
      </c>
    </row>
    <row r="240" spans="1:8" x14ac:dyDescent="0.3">
      <c r="A240" t="s">
        <v>184</v>
      </c>
      <c r="B240" s="1">
        <v>281</v>
      </c>
      <c r="C240" s="1" t="s">
        <v>44</v>
      </c>
      <c r="D240" s="1" t="s">
        <v>337</v>
      </c>
      <c r="E240" s="1" t="s">
        <v>566</v>
      </c>
      <c r="F240" s="1" t="str">
        <f t="shared" si="24"/>
        <v>SP</v>
      </c>
      <c r="G240" s="1" t="str">
        <f t="shared" si="25"/>
        <v>SP</v>
      </c>
      <c r="H240" s="1" t="str">
        <f t="shared" si="23"/>
        <v>São Carlos</v>
      </c>
    </row>
    <row r="241" spans="1:8" x14ac:dyDescent="0.3">
      <c r="A241" t="s">
        <v>185</v>
      </c>
      <c r="B241" s="1">
        <v>302</v>
      </c>
      <c r="C241" s="1" t="s">
        <v>44</v>
      </c>
      <c r="D241" s="1" t="s">
        <v>337</v>
      </c>
      <c r="E241" s="1" t="s">
        <v>566</v>
      </c>
      <c r="F241" s="1" t="str">
        <f t="shared" si="24"/>
        <v>SP</v>
      </c>
      <c r="G241" s="1" t="str">
        <f t="shared" si="25"/>
        <v>SP</v>
      </c>
      <c r="H241" s="1" t="str">
        <f t="shared" si="23"/>
        <v>São Carlos</v>
      </c>
    </row>
    <row r="242" spans="1:8" x14ac:dyDescent="0.3">
      <c r="A242" t="s">
        <v>186</v>
      </c>
      <c r="B242" s="1">
        <v>424</v>
      </c>
      <c r="C242" s="1" t="s">
        <v>44</v>
      </c>
      <c r="D242" s="1" t="s">
        <v>336</v>
      </c>
      <c r="E242" s="1" t="s">
        <v>566</v>
      </c>
      <c r="F242" s="1" t="str">
        <f t="shared" si="24"/>
        <v>SP</v>
      </c>
      <c r="G242" s="1" t="str">
        <f t="shared" si="25"/>
        <v>SP</v>
      </c>
      <c r="H242" s="1" t="str">
        <f t="shared" si="23"/>
        <v>Sertãozinho</v>
      </c>
    </row>
    <row r="243" spans="1:8" x14ac:dyDescent="0.3">
      <c r="A243" t="s">
        <v>187</v>
      </c>
      <c r="B243" s="1">
        <v>425</v>
      </c>
      <c r="C243" s="1" t="s">
        <v>44</v>
      </c>
      <c r="D243" s="1" t="s">
        <v>336</v>
      </c>
      <c r="E243" s="1" t="s">
        <v>566</v>
      </c>
      <c r="F243" s="1" t="str">
        <f t="shared" si="24"/>
        <v>SP</v>
      </c>
      <c r="G243" s="1" t="str">
        <f t="shared" si="25"/>
        <v>SP</v>
      </c>
      <c r="H243" s="1" t="str">
        <f t="shared" si="23"/>
        <v>Sertãozinho</v>
      </c>
    </row>
    <row r="244" spans="1:8" x14ac:dyDescent="0.3">
      <c r="A244" t="s">
        <v>188</v>
      </c>
      <c r="B244" s="1">
        <v>568</v>
      </c>
      <c r="C244" s="3" t="s">
        <v>325</v>
      </c>
      <c r="D244" s="1" t="s">
        <v>344</v>
      </c>
      <c r="E244" s="1" t="s">
        <v>571</v>
      </c>
      <c r="F244" s="1" t="str">
        <f t="shared" si="24"/>
        <v>EX</v>
      </c>
      <c r="G244" s="1" t="str">
        <f t="shared" si="25"/>
        <v>MT</v>
      </c>
      <c r="H244" s="1" t="str">
        <f t="shared" si="23"/>
        <v>Sinop</v>
      </c>
    </row>
    <row r="245" spans="1:8" x14ac:dyDescent="0.3">
      <c r="A245" t="s">
        <v>189</v>
      </c>
      <c r="B245" s="1">
        <v>569</v>
      </c>
      <c r="C245" s="3" t="s">
        <v>325</v>
      </c>
      <c r="D245" s="1" t="s">
        <v>344</v>
      </c>
      <c r="E245" s="1" t="s">
        <v>571</v>
      </c>
      <c r="F245" s="1" t="str">
        <f t="shared" si="24"/>
        <v>EX</v>
      </c>
      <c r="G245" s="1" t="str">
        <f t="shared" si="25"/>
        <v>MT</v>
      </c>
      <c r="H245" s="1" t="str">
        <f t="shared" si="23"/>
        <v>Sinop</v>
      </c>
    </row>
    <row r="246" spans="1:8" x14ac:dyDescent="0.3">
      <c r="A246" t="s">
        <v>190</v>
      </c>
      <c r="B246" s="1">
        <v>423</v>
      </c>
      <c r="C246" s="3" t="s">
        <v>325</v>
      </c>
      <c r="D246" s="1" t="s">
        <v>344</v>
      </c>
      <c r="E246" s="1" t="s">
        <v>571</v>
      </c>
      <c r="F246" s="1" t="str">
        <f t="shared" si="24"/>
        <v>EX</v>
      </c>
      <c r="G246" s="1" t="str">
        <f t="shared" si="25"/>
        <v>MT</v>
      </c>
      <c r="H246" s="1" t="str">
        <f t="shared" si="23"/>
        <v>Sinop</v>
      </c>
    </row>
    <row r="247" spans="1:8" x14ac:dyDescent="0.3">
      <c r="A247" t="s">
        <v>191</v>
      </c>
      <c r="B247" s="1">
        <v>449</v>
      </c>
      <c r="C247" s="3" t="s">
        <v>325</v>
      </c>
      <c r="D247" s="1" t="s">
        <v>344</v>
      </c>
      <c r="E247" s="1" t="s">
        <v>571</v>
      </c>
      <c r="F247" s="1" t="str">
        <f t="shared" si="24"/>
        <v>EX</v>
      </c>
      <c r="G247" s="1" t="str">
        <f t="shared" si="25"/>
        <v>MT</v>
      </c>
      <c r="H247" s="1" t="str">
        <f t="shared" si="23"/>
        <v>Sinop</v>
      </c>
    </row>
    <row r="248" spans="1:8" x14ac:dyDescent="0.3">
      <c r="A248" t="s">
        <v>192</v>
      </c>
      <c r="B248" s="1">
        <v>475</v>
      </c>
      <c r="C248" s="1" t="s">
        <v>322</v>
      </c>
      <c r="D248" s="1" t="s">
        <v>338</v>
      </c>
      <c r="E248" s="1" t="s">
        <v>570</v>
      </c>
      <c r="F248" s="1" t="str">
        <f t="shared" si="24"/>
        <v>SP</v>
      </c>
      <c r="G248" s="1" t="str">
        <f t="shared" si="25"/>
        <v>SP</v>
      </c>
      <c r="H248" s="1" t="str">
        <f t="shared" si="23"/>
        <v>Sorocaba</v>
      </c>
    </row>
    <row r="249" spans="1:8" x14ac:dyDescent="0.3">
      <c r="A249" t="s">
        <v>193</v>
      </c>
      <c r="B249" s="1">
        <v>476</v>
      </c>
      <c r="C249" s="1" t="s">
        <v>322</v>
      </c>
      <c r="D249" s="1" t="s">
        <v>338</v>
      </c>
      <c r="E249" s="1" t="s">
        <v>570</v>
      </c>
      <c r="F249" s="1" t="str">
        <f t="shared" si="24"/>
        <v>SP</v>
      </c>
      <c r="G249" s="1" t="str">
        <f t="shared" si="25"/>
        <v>SP</v>
      </c>
      <c r="H249" s="1" t="str">
        <f t="shared" si="23"/>
        <v>Sorocaba</v>
      </c>
    </row>
    <row r="250" spans="1:8" x14ac:dyDescent="0.3">
      <c r="A250" t="s">
        <v>194</v>
      </c>
      <c r="B250" s="1">
        <v>492</v>
      </c>
      <c r="C250" s="3" t="s">
        <v>325</v>
      </c>
      <c r="D250" s="1" t="s">
        <v>344</v>
      </c>
      <c r="E250" s="1" t="s">
        <v>571</v>
      </c>
      <c r="F250" s="1" t="str">
        <f t="shared" si="24"/>
        <v>EX</v>
      </c>
      <c r="G250" s="1" t="str">
        <f t="shared" si="25"/>
        <v>MT</v>
      </c>
      <c r="H250" s="1" t="str">
        <f t="shared" si="23"/>
        <v>Sorriso</v>
      </c>
    </row>
    <row r="251" spans="1:8" x14ac:dyDescent="0.3">
      <c r="A251" t="s">
        <v>195</v>
      </c>
      <c r="B251" s="1">
        <v>493</v>
      </c>
      <c r="C251" s="3" t="s">
        <v>325</v>
      </c>
      <c r="D251" s="1" t="s">
        <v>344</v>
      </c>
      <c r="E251" s="1" t="s">
        <v>571</v>
      </c>
      <c r="F251" s="1" t="str">
        <f t="shared" si="24"/>
        <v>EX</v>
      </c>
      <c r="G251" s="1" t="str">
        <f t="shared" si="25"/>
        <v>MT</v>
      </c>
      <c r="H251" s="1" t="str">
        <f t="shared" si="23"/>
        <v>Sorriso</v>
      </c>
    </row>
    <row r="252" spans="1:8" x14ac:dyDescent="0.3">
      <c r="A252" t="s">
        <v>315</v>
      </c>
      <c r="B252" s="1">
        <v>296</v>
      </c>
      <c r="C252" s="1" t="s">
        <v>322</v>
      </c>
      <c r="D252" s="1" t="s">
        <v>338</v>
      </c>
      <c r="E252" s="1" t="s">
        <v>570</v>
      </c>
      <c r="F252" s="1" t="str">
        <f t="shared" si="24"/>
        <v>SP</v>
      </c>
      <c r="G252" s="1" t="str">
        <f t="shared" si="25"/>
        <v>SP</v>
      </c>
      <c r="H252" s="1" t="str">
        <f t="shared" si="23"/>
        <v>Tatuí</v>
      </c>
    </row>
    <row r="253" spans="1:8" x14ac:dyDescent="0.3">
      <c r="A253" t="s">
        <v>316</v>
      </c>
      <c r="B253" s="1">
        <v>338</v>
      </c>
      <c r="C253" s="1" t="s">
        <v>322</v>
      </c>
      <c r="D253" s="1" t="s">
        <v>338</v>
      </c>
      <c r="E253" s="1" t="s">
        <v>570</v>
      </c>
      <c r="F253" s="1" t="str">
        <f t="shared" si="24"/>
        <v>SP</v>
      </c>
      <c r="G253" s="1" t="str">
        <f t="shared" si="25"/>
        <v>SP</v>
      </c>
      <c r="H253" s="1" t="str">
        <f t="shared" si="23"/>
        <v>Tatuí</v>
      </c>
    </row>
    <row r="254" spans="1:8" x14ac:dyDescent="0.3">
      <c r="A254" t="s">
        <v>196</v>
      </c>
      <c r="B254" s="1">
        <v>367</v>
      </c>
      <c r="C254" s="1" t="s">
        <v>322</v>
      </c>
      <c r="D254" s="1" t="s">
        <v>338</v>
      </c>
      <c r="E254" s="1" t="s">
        <v>570</v>
      </c>
      <c r="F254" s="1" t="str">
        <f t="shared" si="24"/>
        <v>SP</v>
      </c>
      <c r="G254" s="1" t="str">
        <f t="shared" si="25"/>
        <v>SP</v>
      </c>
      <c r="H254" s="1" t="str">
        <f t="shared" si="23"/>
        <v>Tatuí</v>
      </c>
    </row>
    <row r="255" spans="1:8" x14ac:dyDescent="0.3">
      <c r="A255" t="s">
        <v>197</v>
      </c>
      <c r="B255" s="1">
        <v>378</v>
      </c>
      <c r="C255" s="1" t="s">
        <v>322</v>
      </c>
      <c r="D255" s="1" t="s">
        <v>338</v>
      </c>
      <c r="E255" s="1" t="s">
        <v>570</v>
      </c>
      <c r="F255" s="1" t="str">
        <f t="shared" si="24"/>
        <v>SP</v>
      </c>
      <c r="G255" s="1" t="str">
        <f t="shared" si="25"/>
        <v>SP</v>
      </c>
      <c r="H255" s="1" t="str">
        <f t="shared" si="23"/>
        <v>Tatuí</v>
      </c>
    </row>
    <row r="256" spans="1:8" x14ac:dyDescent="0.3">
      <c r="A256" t="s">
        <v>198</v>
      </c>
      <c r="B256" s="1">
        <v>374</v>
      </c>
      <c r="C256" s="1" t="s">
        <v>322</v>
      </c>
      <c r="D256" s="1" t="s">
        <v>338</v>
      </c>
      <c r="E256" s="1" t="s">
        <v>570</v>
      </c>
      <c r="F256" s="1" t="str">
        <f t="shared" si="24"/>
        <v>SP</v>
      </c>
      <c r="G256" s="1" t="str">
        <f t="shared" si="25"/>
        <v>SP</v>
      </c>
      <c r="H256" s="1" t="str">
        <f t="shared" si="23"/>
        <v>Tatuí</v>
      </c>
    </row>
    <row r="257" spans="1:8" x14ac:dyDescent="0.3">
      <c r="A257" t="s">
        <v>317</v>
      </c>
      <c r="B257" s="1">
        <v>388</v>
      </c>
      <c r="C257" s="1" t="s">
        <v>322</v>
      </c>
      <c r="D257" s="1" t="s">
        <v>338</v>
      </c>
      <c r="E257" s="1" t="s">
        <v>570</v>
      </c>
      <c r="F257" s="1" t="str">
        <f t="shared" si="24"/>
        <v>SP</v>
      </c>
      <c r="G257" s="1" t="str">
        <f t="shared" si="25"/>
        <v>SP</v>
      </c>
      <c r="H257" s="1" t="str">
        <f t="shared" si="23"/>
        <v>Tatuí</v>
      </c>
    </row>
    <row r="258" spans="1:8" x14ac:dyDescent="0.3">
      <c r="A258" s="7" t="s">
        <v>559</v>
      </c>
      <c r="B258" s="1">
        <v>164</v>
      </c>
      <c r="E258" s="1" t="s">
        <v>570</v>
      </c>
      <c r="F258"/>
      <c r="G258"/>
      <c r="H258"/>
    </row>
    <row r="259" spans="1:8" x14ac:dyDescent="0.3">
      <c r="A259" t="s">
        <v>318</v>
      </c>
      <c r="B259" s="1">
        <v>244</v>
      </c>
      <c r="C259" s="1" t="s">
        <v>322</v>
      </c>
      <c r="D259" s="1" t="s">
        <v>338</v>
      </c>
      <c r="E259" s="1" t="s">
        <v>570</v>
      </c>
      <c r="F259" s="1" t="str">
        <f t="shared" ref="F259:F296" si="26">IF(LEFT(E259,2)="SP","SP","EX")</f>
        <v>SP</v>
      </c>
      <c r="G259" s="1" t="str">
        <f t="shared" ref="G259:G296" si="27">LEFT(E259,2)</f>
        <v>SP</v>
      </c>
      <c r="H259" s="1" t="s">
        <v>329</v>
      </c>
    </row>
    <row r="260" spans="1:8" x14ac:dyDescent="0.3">
      <c r="A260" t="s">
        <v>199</v>
      </c>
      <c r="B260" s="1">
        <v>350</v>
      </c>
      <c r="C260" s="1" t="s">
        <v>322</v>
      </c>
      <c r="D260" s="1" t="s">
        <v>337</v>
      </c>
      <c r="E260" s="1" t="s">
        <v>566</v>
      </c>
      <c r="F260" s="1" t="str">
        <f t="shared" si="26"/>
        <v>SP</v>
      </c>
      <c r="G260" s="1" t="str">
        <f t="shared" si="27"/>
        <v>SP</v>
      </c>
      <c r="H260" s="1" t="str">
        <f t="shared" ref="H260:H296" si="28">LEFT(A260,FIND(" (",A260)-1)</f>
        <v>Taubaté</v>
      </c>
    </row>
    <row r="261" spans="1:8" x14ac:dyDescent="0.3">
      <c r="A261" t="s">
        <v>200</v>
      </c>
      <c r="B261" s="1">
        <v>351</v>
      </c>
      <c r="C261" s="1" t="s">
        <v>322</v>
      </c>
      <c r="D261" s="1" t="s">
        <v>337</v>
      </c>
      <c r="E261" s="1" t="s">
        <v>566</v>
      </c>
      <c r="F261" s="1" t="str">
        <f t="shared" si="26"/>
        <v>SP</v>
      </c>
      <c r="G261" s="1" t="str">
        <f t="shared" si="27"/>
        <v>SP</v>
      </c>
      <c r="H261" s="1" t="str">
        <f t="shared" si="28"/>
        <v>Taubaté</v>
      </c>
    </row>
    <row r="262" spans="1:8" x14ac:dyDescent="0.3">
      <c r="A262" t="s">
        <v>201</v>
      </c>
      <c r="B262" s="1">
        <v>352</v>
      </c>
      <c r="C262" s="1" t="s">
        <v>322</v>
      </c>
      <c r="D262" s="1" t="s">
        <v>337</v>
      </c>
      <c r="E262" s="1" t="s">
        <v>566</v>
      </c>
      <c r="F262" s="1" t="str">
        <f t="shared" si="26"/>
        <v>SP</v>
      </c>
      <c r="G262" s="1" t="str">
        <f t="shared" si="27"/>
        <v>SP</v>
      </c>
      <c r="H262" s="1" t="str">
        <f t="shared" si="28"/>
        <v>Taubaté</v>
      </c>
    </row>
    <row r="263" spans="1:8" x14ac:dyDescent="0.3">
      <c r="A263" t="s">
        <v>202</v>
      </c>
      <c r="B263" s="1">
        <v>353</v>
      </c>
      <c r="C263" s="1" t="s">
        <v>322</v>
      </c>
      <c r="D263" s="1" t="s">
        <v>337</v>
      </c>
      <c r="E263" s="1" t="s">
        <v>566</v>
      </c>
      <c r="F263" s="1" t="str">
        <f t="shared" si="26"/>
        <v>SP</v>
      </c>
      <c r="G263" s="1" t="str">
        <f t="shared" si="27"/>
        <v>SP</v>
      </c>
      <c r="H263" s="1" t="str">
        <f t="shared" si="28"/>
        <v>Taubaté</v>
      </c>
    </row>
    <row r="264" spans="1:8" x14ac:dyDescent="0.3">
      <c r="A264" t="s">
        <v>203</v>
      </c>
      <c r="B264" s="1">
        <v>354</v>
      </c>
      <c r="C264" s="1" t="s">
        <v>322</v>
      </c>
      <c r="D264" s="1" t="s">
        <v>337</v>
      </c>
      <c r="E264" s="1" t="s">
        <v>566</v>
      </c>
      <c r="F264" s="1" t="str">
        <f t="shared" si="26"/>
        <v>SP</v>
      </c>
      <c r="G264" s="1" t="str">
        <f t="shared" si="27"/>
        <v>SP</v>
      </c>
      <c r="H264" s="1" t="str">
        <f t="shared" si="28"/>
        <v>Taubaté</v>
      </c>
    </row>
    <row r="265" spans="1:8" x14ac:dyDescent="0.3">
      <c r="A265" t="s">
        <v>204</v>
      </c>
      <c r="B265" s="1">
        <v>355</v>
      </c>
      <c r="C265" s="1" t="s">
        <v>322</v>
      </c>
      <c r="D265" s="1" t="s">
        <v>337</v>
      </c>
      <c r="E265" s="1" t="s">
        <v>566</v>
      </c>
      <c r="F265" s="1" t="str">
        <f t="shared" si="26"/>
        <v>SP</v>
      </c>
      <c r="G265" s="1" t="str">
        <f t="shared" si="27"/>
        <v>SP</v>
      </c>
      <c r="H265" s="1" t="str">
        <f t="shared" si="28"/>
        <v>Taubaté</v>
      </c>
    </row>
    <row r="266" spans="1:8" x14ac:dyDescent="0.3">
      <c r="A266" t="s">
        <v>205</v>
      </c>
      <c r="B266" s="1">
        <v>592</v>
      </c>
      <c r="C266" s="3" t="s">
        <v>324</v>
      </c>
      <c r="D266" s="1" t="s">
        <v>341</v>
      </c>
      <c r="E266" s="1" t="s">
        <v>22</v>
      </c>
      <c r="F266" s="1" t="str">
        <f t="shared" si="26"/>
        <v>EX</v>
      </c>
      <c r="G266" s="1" t="str">
        <f t="shared" si="27"/>
        <v>PR</v>
      </c>
      <c r="H266" s="1" t="str">
        <f t="shared" si="28"/>
        <v>Toledo</v>
      </c>
    </row>
    <row r="267" spans="1:8" x14ac:dyDescent="0.3">
      <c r="A267" t="s">
        <v>319</v>
      </c>
      <c r="B267" s="1">
        <v>286</v>
      </c>
      <c r="C267" s="1" t="s">
        <v>325</v>
      </c>
      <c r="D267" s="1" t="s">
        <v>343</v>
      </c>
      <c r="E267" s="1" t="s">
        <v>570</v>
      </c>
      <c r="F267" s="1" t="str">
        <f t="shared" si="26"/>
        <v>SP</v>
      </c>
      <c r="G267" s="1" t="str">
        <f t="shared" si="27"/>
        <v>SP</v>
      </c>
      <c r="H267" s="1" t="str">
        <f t="shared" si="28"/>
        <v>Trindade</v>
      </c>
    </row>
    <row r="268" spans="1:8" x14ac:dyDescent="0.3">
      <c r="A268" t="s">
        <v>206</v>
      </c>
      <c r="B268" s="1">
        <v>326</v>
      </c>
      <c r="C268" s="1" t="s">
        <v>44</v>
      </c>
      <c r="D268" s="1" t="s">
        <v>336</v>
      </c>
      <c r="E268" s="1" t="s">
        <v>25</v>
      </c>
      <c r="F268" s="1" t="str">
        <f t="shared" si="26"/>
        <v>EX</v>
      </c>
      <c r="G268" s="1" t="str">
        <f t="shared" si="27"/>
        <v>MG</v>
      </c>
      <c r="H268" s="1" t="str">
        <f t="shared" si="28"/>
        <v>Uberlândia</v>
      </c>
    </row>
    <row r="269" spans="1:8" x14ac:dyDescent="0.3">
      <c r="A269" t="s">
        <v>207</v>
      </c>
      <c r="B269" s="1">
        <v>411</v>
      </c>
      <c r="C269" s="1" t="s">
        <v>44</v>
      </c>
      <c r="D269" s="1" t="s">
        <v>336</v>
      </c>
      <c r="E269" s="1" t="s">
        <v>25</v>
      </c>
      <c r="F269" s="1" t="str">
        <f t="shared" si="26"/>
        <v>EX</v>
      </c>
      <c r="G269" s="1" t="str">
        <f t="shared" si="27"/>
        <v>MG</v>
      </c>
      <c r="H269" s="1" t="str">
        <f t="shared" si="28"/>
        <v>Uberlândia</v>
      </c>
    </row>
    <row r="270" spans="1:8" x14ac:dyDescent="0.3">
      <c r="A270" t="s">
        <v>208</v>
      </c>
      <c r="B270" s="1">
        <v>412</v>
      </c>
      <c r="C270" s="1" t="s">
        <v>44</v>
      </c>
      <c r="D270" s="1" t="s">
        <v>336</v>
      </c>
      <c r="E270" s="1" t="s">
        <v>25</v>
      </c>
      <c r="F270" s="1" t="str">
        <f t="shared" si="26"/>
        <v>EX</v>
      </c>
      <c r="G270" s="1" t="str">
        <f t="shared" si="27"/>
        <v>MG</v>
      </c>
      <c r="H270" s="1" t="str">
        <f t="shared" si="28"/>
        <v>Uberlândia</v>
      </c>
    </row>
    <row r="271" spans="1:8" x14ac:dyDescent="0.3">
      <c r="A271" t="s">
        <v>209</v>
      </c>
      <c r="B271" s="1">
        <v>413</v>
      </c>
      <c r="C271" s="1" t="s">
        <v>44</v>
      </c>
      <c r="D271" s="1" t="s">
        <v>336</v>
      </c>
      <c r="E271" s="1" t="s">
        <v>25</v>
      </c>
      <c r="F271" s="1" t="str">
        <f t="shared" si="26"/>
        <v>EX</v>
      </c>
      <c r="G271" s="1" t="str">
        <f t="shared" si="27"/>
        <v>MG</v>
      </c>
      <c r="H271" s="1" t="str">
        <f t="shared" si="28"/>
        <v>Uberlândia</v>
      </c>
    </row>
    <row r="272" spans="1:8" x14ac:dyDescent="0.3">
      <c r="A272" t="s">
        <v>210</v>
      </c>
      <c r="B272" s="1">
        <v>414</v>
      </c>
      <c r="C272" s="1" t="s">
        <v>44</v>
      </c>
      <c r="D272" s="1" t="s">
        <v>336</v>
      </c>
      <c r="E272" s="1" t="s">
        <v>25</v>
      </c>
      <c r="F272" s="1" t="str">
        <f t="shared" si="26"/>
        <v>EX</v>
      </c>
      <c r="G272" s="1" t="str">
        <f t="shared" si="27"/>
        <v>MG</v>
      </c>
      <c r="H272" s="1" t="str">
        <f t="shared" si="28"/>
        <v>Uberlândia</v>
      </c>
    </row>
    <row r="273" spans="1:8" x14ac:dyDescent="0.3">
      <c r="A273" t="s">
        <v>211</v>
      </c>
      <c r="B273" s="1">
        <v>415</v>
      </c>
      <c r="C273" s="1" t="s">
        <v>44</v>
      </c>
      <c r="D273" s="1" t="s">
        <v>336</v>
      </c>
      <c r="E273" s="1" t="s">
        <v>25</v>
      </c>
      <c r="F273" s="1" t="str">
        <f t="shared" si="26"/>
        <v>EX</v>
      </c>
      <c r="G273" s="1" t="str">
        <f t="shared" si="27"/>
        <v>MG</v>
      </c>
      <c r="H273" s="1" t="str">
        <f t="shared" si="28"/>
        <v>Uberlândia</v>
      </c>
    </row>
    <row r="274" spans="1:8" x14ac:dyDescent="0.3">
      <c r="A274" t="s">
        <v>212</v>
      </c>
      <c r="B274" s="1">
        <v>360</v>
      </c>
      <c r="C274" s="1" t="s">
        <v>44</v>
      </c>
      <c r="D274" s="1" t="s">
        <v>336</v>
      </c>
      <c r="E274" s="1" t="s">
        <v>25</v>
      </c>
      <c r="F274" s="1" t="str">
        <f t="shared" si="26"/>
        <v>EX</v>
      </c>
      <c r="G274" s="1" t="str">
        <f t="shared" si="27"/>
        <v>MG</v>
      </c>
      <c r="H274" s="1" t="str">
        <f t="shared" si="28"/>
        <v>Uberlândia</v>
      </c>
    </row>
    <row r="275" spans="1:8" x14ac:dyDescent="0.3">
      <c r="A275" t="s">
        <v>213</v>
      </c>
      <c r="B275" s="1">
        <v>551</v>
      </c>
      <c r="C275" s="1" t="s">
        <v>44</v>
      </c>
      <c r="D275" s="1" t="s">
        <v>336</v>
      </c>
      <c r="E275" s="1" t="s">
        <v>25</v>
      </c>
      <c r="F275" s="1" t="str">
        <f t="shared" si="26"/>
        <v>EX</v>
      </c>
      <c r="G275" s="1" t="str">
        <f t="shared" si="27"/>
        <v>MG</v>
      </c>
      <c r="H275" s="1" t="str">
        <f t="shared" si="28"/>
        <v>Uberlândia</v>
      </c>
    </row>
    <row r="276" spans="1:8" x14ac:dyDescent="0.3">
      <c r="A276" t="s">
        <v>214</v>
      </c>
      <c r="B276" s="1">
        <v>549</v>
      </c>
      <c r="C276" s="1" t="s">
        <v>44</v>
      </c>
      <c r="D276" s="1" t="s">
        <v>336</v>
      </c>
      <c r="E276" s="1" t="s">
        <v>25</v>
      </c>
      <c r="F276" s="1" t="str">
        <f t="shared" si="26"/>
        <v>EX</v>
      </c>
      <c r="G276" s="1" t="str">
        <f t="shared" si="27"/>
        <v>MG</v>
      </c>
      <c r="H276" s="1" t="str">
        <f t="shared" si="28"/>
        <v>Uberlândia</v>
      </c>
    </row>
    <row r="277" spans="1:8" x14ac:dyDescent="0.3">
      <c r="A277" t="s">
        <v>215</v>
      </c>
      <c r="B277" s="1">
        <v>550</v>
      </c>
      <c r="C277" s="1" t="s">
        <v>44</v>
      </c>
      <c r="D277" s="1" t="s">
        <v>336</v>
      </c>
      <c r="E277" s="1" t="s">
        <v>25</v>
      </c>
      <c r="F277" s="1" t="str">
        <f t="shared" si="26"/>
        <v>EX</v>
      </c>
      <c r="G277" s="1" t="str">
        <f t="shared" si="27"/>
        <v>MG</v>
      </c>
      <c r="H277" s="1" t="str">
        <f t="shared" si="28"/>
        <v>Uberlândia</v>
      </c>
    </row>
    <row r="278" spans="1:8" x14ac:dyDescent="0.3">
      <c r="A278" t="s">
        <v>216</v>
      </c>
      <c r="B278" s="1">
        <v>559</v>
      </c>
      <c r="C278" s="1" t="s">
        <v>44</v>
      </c>
      <c r="D278" s="1" t="s">
        <v>336</v>
      </c>
      <c r="E278" s="1" t="s">
        <v>25</v>
      </c>
      <c r="F278" s="1" t="str">
        <f t="shared" si="26"/>
        <v>EX</v>
      </c>
      <c r="G278" s="1" t="str">
        <f t="shared" si="27"/>
        <v>MG</v>
      </c>
      <c r="H278" s="1" t="str">
        <f t="shared" si="28"/>
        <v>Uberlândia</v>
      </c>
    </row>
    <row r="279" spans="1:8" x14ac:dyDescent="0.3">
      <c r="A279" t="s">
        <v>217</v>
      </c>
      <c r="B279" s="1">
        <v>578</v>
      </c>
      <c r="C279" s="1" t="s">
        <v>44</v>
      </c>
      <c r="D279" s="1" t="s">
        <v>336</v>
      </c>
      <c r="E279" s="1" t="s">
        <v>25</v>
      </c>
      <c r="F279" s="1" t="str">
        <f t="shared" si="26"/>
        <v>EX</v>
      </c>
      <c r="G279" s="1" t="str">
        <f t="shared" si="27"/>
        <v>MG</v>
      </c>
      <c r="H279" s="1" t="str">
        <f t="shared" si="28"/>
        <v>Uberlândia</v>
      </c>
    </row>
    <row r="280" spans="1:8" x14ac:dyDescent="0.3">
      <c r="A280" t="s">
        <v>218</v>
      </c>
      <c r="B280" s="1">
        <v>579</v>
      </c>
      <c r="C280" s="1" t="s">
        <v>44</v>
      </c>
      <c r="D280" s="1" t="s">
        <v>336</v>
      </c>
      <c r="E280" s="1" t="s">
        <v>25</v>
      </c>
      <c r="F280" s="1" t="str">
        <f t="shared" si="26"/>
        <v>EX</v>
      </c>
      <c r="G280" s="1" t="str">
        <f t="shared" si="27"/>
        <v>MG</v>
      </c>
      <c r="H280" s="1" t="str">
        <f t="shared" si="28"/>
        <v>Uberlândia</v>
      </c>
    </row>
    <row r="281" spans="1:8" x14ac:dyDescent="0.3">
      <c r="A281" t="s">
        <v>219</v>
      </c>
      <c r="B281" s="1">
        <v>580</v>
      </c>
      <c r="C281" s="1" t="s">
        <v>44</v>
      </c>
      <c r="D281" s="1" t="s">
        <v>336</v>
      </c>
      <c r="E281" s="1" t="s">
        <v>25</v>
      </c>
      <c r="F281" s="1" t="str">
        <f t="shared" si="26"/>
        <v>EX</v>
      </c>
      <c r="G281" s="1" t="str">
        <f t="shared" si="27"/>
        <v>MG</v>
      </c>
      <c r="H281" s="1" t="str">
        <f t="shared" si="28"/>
        <v>Uberlândia</v>
      </c>
    </row>
    <row r="282" spans="1:8" x14ac:dyDescent="0.3">
      <c r="A282" t="s">
        <v>220</v>
      </c>
      <c r="B282" s="1">
        <v>581</v>
      </c>
      <c r="C282" s="1" t="s">
        <v>44</v>
      </c>
      <c r="D282" s="1" t="s">
        <v>336</v>
      </c>
      <c r="E282" s="1" t="s">
        <v>25</v>
      </c>
      <c r="F282" s="1" t="str">
        <f t="shared" si="26"/>
        <v>EX</v>
      </c>
      <c r="G282" s="1" t="str">
        <f t="shared" si="27"/>
        <v>MG</v>
      </c>
      <c r="H282" s="1" t="str">
        <f t="shared" si="28"/>
        <v>Uberlândia</v>
      </c>
    </row>
    <row r="283" spans="1:8" x14ac:dyDescent="0.3">
      <c r="A283" t="s">
        <v>221</v>
      </c>
      <c r="B283" s="1">
        <v>582</v>
      </c>
      <c r="C283" s="1" t="s">
        <v>44</v>
      </c>
      <c r="D283" s="1" t="s">
        <v>336</v>
      </c>
      <c r="E283" s="1" t="s">
        <v>25</v>
      </c>
      <c r="F283" s="1" t="str">
        <f t="shared" si="26"/>
        <v>EX</v>
      </c>
      <c r="G283" s="1" t="str">
        <f t="shared" si="27"/>
        <v>MG</v>
      </c>
      <c r="H283" s="1" t="str">
        <f t="shared" si="28"/>
        <v>Uberlândia</v>
      </c>
    </row>
    <row r="284" spans="1:8" x14ac:dyDescent="0.3">
      <c r="A284" t="s">
        <v>222</v>
      </c>
      <c r="B284" s="1">
        <v>583</v>
      </c>
      <c r="C284" s="1" t="s">
        <v>44</v>
      </c>
      <c r="D284" s="1" t="s">
        <v>336</v>
      </c>
      <c r="E284" s="1" t="s">
        <v>25</v>
      </c>
      <c r="F284" s="1" t="str">
        <f t="shared" si="26"/>
        <v>EX</v>
      </c>
      <c r="G284" s="1" t="str">
        <f t="shared" si="27"/>
        <v>MG</v>
      </c>
      <c r="H284" s="1" t="str">
        <f t="shared" si="28"/>
        <v>Uberlândia</v>
      </c>
    </row>
    <row r="285" spans="1:8" x14ac:dyDescent="0.3">
      <c r="A285" t="s">
        <v>223</v>
      </c>
      <c r="B285" s="1">
        <v>587</v>
      </c>
      <c r="C285" s="1" t="s">
        <v>44</v>
      </c>
      <c r="D285" s="1" t="s">
        <v>336</v>
      </c>
      <c r="E285" s="1" t="s">
        <v>25</v>
      </c>
      <c r="F285" s="1" t="str">
        <f t="shared" si="26"/>
        <v>EX</v>
      </c>
      <c r="G285" s="1" t="str">
        <f t="shared" si="27"/>
        <v>MG</v>
      </c>
      <c r="H285" s="1" t="str">
        <f t="shared" si="28"/>
        <v>Uberlândia</v>
      </c>
    </row>
    <row r="286" spans="1:8" x14ac:dyDescent="0.3">
      <c r="A286" t="s">
        <v>224</v>
      </c>
      <c r="B286" s="1">
        <v>588</v>
      </c>
      <c r="C286" s="1" t="s">
        <v>44</v>
      </c>
      <c r="D286" s="1" t="s">
        <v>336</v>
      </c>
      <c r="E286" s="1" t="s">
        <v>25</v>
      </c>
      <c r="F286" s="1" t="str">
        <f t="shared" si="26"/>
        <v>EX</v>
      </c>
      <c r="G286" s="1" t="str">
        <f t="shared" si="27"/>
        <v>MG</v>
      </c>
      <c r="H286" s="1" t="str">
        <f t="shared" si="28"/>
        <v>Uberlândia</v>
      </c>
    </row>
    <row r="287" spans="1:8" x14ac:dyDescent="0.3">
      <c r="A287" t="s">
        <v>225</v>
      </c>
      <c r="B287" s="1">
        <v>572</v>
      </c>
      <c r="C287" s="1" t="s">
        <v>44</v>
      </c>
      <c r="D287" s="1" t="s">
        <v>336</v>
      </c>
      <c r="E287" s="1" t="s">
        <v>25</v>
      </c>
      <c r="F287" s="1" t="str">
        <f t="shared" si="26"/>
        <v>EX</v>
      </c>
      <c r="G287" s="1" t="str">
        <f t="shared" si="27"/>
        <v>MG</v>
      </c>
      <c r="H287" s="1" t="str">
        <f t="shared" si="28"/>
        <v>Uberlândia</v>
      </c>
    </row>
    <row r="288" spans="1:8" x14ac:dyDescent="0.3">
      <c r="A288" t="s">
        <v>226</v>
      </c>
      <c r="B288" s="1">
        <v>573</v>
      </c>
      <c r="C288" s="1" t="s">
        <v>44</v>
      </c>
      <c r="D288" s="1" t="s">
        <v>336</v>
      </c>
      <c r="E288" s="1" t="s">
        <v>25</v>
      </c>
      <c r="F288" s="1" t="str">
        <f t="shared" si="26"/>
        <v>EX</v>
      </c>
      <c r="G288" s="1" t="str">
        <f t="shared" si="27"/>
        <v>MG</v>
      </c>
      <c r="H288" s="1" t="str">
        <f t="shared" si="28"/>
        <v>Uberlândia</v>
      </c>
    </row>
    <row r="289" spans="1:8" x14ac:dyDescent="0.3">
      <c r="A289" t="s">
        <v>227</v>
      </c>
      <c r="B289" s="1">
        <v>541</v>
      </c>
      <c r="C289" s="3" t="s">
        <v>324</v>
      </c>
      <c r="D289" s="1" t="s">
        <v>341</v>
      </c>
      <c r="E289" s="1" t="s">
        <v>22</v>
      </c>
      <c r="F289" s="1" t="str">
        <f t="shared" si="26"/>
        <v>EX</v>
      </c>
      <c r="G289" s="1" t="str">
        <f t="shared" si="27"/>
        <v>PR</v>
      </c>
      <c r="H289" s="1" t="str">
        <f t="shared" si="28"/>
        <v>Umuarama</v>
      </c>
    </row>
    <row r="290" spans="1:8" x14ac:dyDescent="0.3">
      <c r="A290" t="s">
        <v>228</v>
      </c>
      <c r="B290" s="1">
        <v>542</v>
      </c>
      <c r="C290" s="3" t="s">
        <v>324</v>
      </c>
      <c r="D290" s="1" t="s">
        <v>341</v>
      </c>
      <c r="E290" s="1" t="s">
        <v>22</v>
      </c>
      <c r="F290" s="1" t="str">
        <f t="shared" si="26"/>
        <v>EX</v>
      </c>
      <c r="G290" s="1" t="str">
        <f t="shared" si="27"/>
        <v>PR</v>
      </c>
      <c r="H290" s="1" t="str">
        <f t="shared" si="28"/>
        <v>Umuarama</v>
      </c>
    </row>
    <row r="291" spans="1:8" x14ac:dyDescent="0.3">
      <c r="A291" t="s">
        <v>229</v>
      </c>
      <c r="B291" s="1">
        <v>543</v>
      </c>
      <c r="C291" s="3" t="s">
        <v>324</v>
      </c>
      <c r="D291" s="1" t="s">
        <v>341</v>
      </c>
      <c r="E291" s="1" t="s">
        <v>22</v>
      </c>
      <c r="F291" s="1" t="str">
        <f t="shared" si="26"/>
        <v>EX</v>
      </c>
      <c r="G291" s="1" t="str">
        <f t="shared" si="27"/>
        <v>PR</v>
      </c>
      <c r="H291" s="1" t="str">
        <f t="shared" si="28"/>
        <v>Umuarama</v>
      </c>
    </row>
    <row r="292" spans="1:8" x14ac:dyDescent="0.3">
      <c r="A292" t="s">
        <v>230</v>
      </c>
      <c r="B292" s="1">
        <v>544</v>
      </c>
      <c r="C292" s="3" t="s">
        <v>324</v>
      </c>
      <c r="D292" s="1" t="s">
        <v>341</v>
      </c>
      <c r="E292" s="1" t="s">
        <v>22</v>
      </c>
      <c r="F292" s="1" t="str">
        <f t="shared" si="26"/>
        <v>EX</v>
      </c>
      <c r="G292" s="1" t="str">
        <f t="shared" si="27"/>
        <v>PR</v>
      </c>
      <c r="H292" s="1" t="str">
        <f t="shared" si="28"/>
        <v>Umuarama</v>
      </c>
    </row>
    <row r="293" spans="1:8" x14ac:dyDescent="0.3">
      <c r="A293" t="s">
        <v>231</v>
      </c>
      <c r="B293" s="1">
        <v>545</v>
      </c>
      <c r="C293" s="3" t="s">
        <v>324</v>
      </c>
      <c r="D293" s="1" t="s">
        <v>341</v>
      </c>
      <c r="E293" s="1" t="s">
        <v>22</v>
      </c>
      <c r="F293" s="1" t="str">
        <f t="shared" si="26"/>
        <v>EX</v>
      </c>
      <c r="G293" s="1" t="str">
        <f t="shared" si="27"/>
        <v>PR</v>
      </c>
      <c r="H293" s="1" t="str">
        <f t="shared" si="28"/>
        <v>Umuarama</v>
      </c>
    </row>
    <row r="294" spans="1:8" x14ac:dyDescent="0.3">
      <c r="A294" t="s">
        <v>232</v>
      </c>
      <c r="B294" s="1">
        <v>546</v>
      </c>
      <c r="C294" s="3" t="s">
        <v>324</v>
      </c>
      <c r="D294" s="1" t="s">
        <v>341</v>
      </c>
      <c r="E294" s="1" t="s">
        <v>22</v>
      </c>
      <c r="F294" s="1" t="str">
        <f t="shared" si="26"/>
        <v>EX</v>
      </c>
      <c r="G294" s="1" t="str">
        <f t="shared" si="27"/>
        <v>PR</v>
      </c>
      <c r="H294" s="1" t="str">
        <f t="shared" si="28"/>
        <v>Umuarama</v>
      </c>
    </row>
    <row r="295" spans="1:8" x14ac:dyDescent="0.3">
      <c r="A295" t="s">
        <v>233</v>
      </c>
      <c r="B295" s="1">
        <v>547</v>
      </c>
      <c r="C295" s="3" t="s">
        <v>324</v>
      </c>
      <c r="D295" s="1" t="s">
        <v>341</v>
      </c>
      <c r="E295" s="1" t="s">
        <v>22</v>
      </c>
      <c r="F295" s="1" t="str">
        <f t="shared" si="26"/>
        <v>EX</v>
      </c>
      <c r="G295" s="1" t="str">
        <f t="shared" si="27"/>
        <v>PR</v>
      </c>
      <c r="H295" s="1" t="str">
        <f t="shared" si="28"/>
        <v>Umuarama</v>
      </c>
    </row>
    <row r="296" spans="1:8" x14ac:dyDescent="0.3">
      <c r="A296" t="s">
        <v>234</v>
      </c>
      <c r="B296" s="1">
        <v>548</v>
      </c>
      <c r="C296" s="3" t="s">
        <v>324</v>
      </c>
      <c r="D296" s="1" t="s">
        <v>341</v>
      </c>
      <c r="E296" s="1" t="s">
        <v>22</v>
      </c>
      <c r="F296" s="1" t="str">
        <f t="shared" si="26"/>
        <v>EX</v>
      </c>
      <c r="G296" s="1" t="str">
        <f t="shared" si="27"/>
        <v>PR</v>
      </c>
      <c r="H296" s="1" t="str">
        <f t="shared" si="28"/>
        <v>Umuarama</v>
      </c>
    </row>
    <row r="297" spans="1:8" x14ac:dyDescent="0.3">
      <c r="A297" s="7" t="s">
        <v>560</v>
      </c>
      <c r="B297" s="1">
        <v>220</v>
      </c>
      <c r="C297" s="1" t="s">
        <v>44</v>
      </c>
      <c r="D297" s="1" t="s">
        <v>340</v>
      </c>
      <c r="E297" s="1" t="s">
        <v>569</v>
      </c>
      <c r="F297" s="1" t="s">
        <v>38</v>
      </c>
      <c r="G297" s="1" t="s">
        <v>38</v>
      </c>
      <c r="H297" s="1" t="s">
        <v>572</v>
      </c>
    </row>
    <row r="298" spans="1:8" x14ac:dyDescent="0.3">
      <c r="A298" s="7" t="s">
        <v>562</v>
      </c>
      <c r="B298" s="1">
        <v>186</v>
      </c>
      <c r="E298" s="1" t="s">
        <v>570</v>
      </c>
      <c r="F298"/>
      <c r="G298"/>
      <c r="H298"/>
    </row>
    <row r="299" spans="1:8" x14ac:dyDescent="0.3">
      <c r="A299" s="7" t="s">
        <v>546</v>
      </c>
      <c r="B299" s="1">
        <v>176</v>
      </c>
      <c r="C299" s="1" t="s">
        <v>44</v>
      </c>
      <c r="D299" s="1" t="s">
        <v>339</v>
      </c>
      <c r="E299" s="1" t="s">
        <v>569</v>
      </c>
      <c r="F299" s="1" t="s">
        <v>38</v>
      </c>
      <c r="G299" s="1" t="s">
        <v>38</v>
      </c>
      <c r="H299" s="1" t="s">
        <v>573</v>
      </c>
    </row>
    <row r="300" spans="1:8" x14ac:dyDescent="0.3">
      <c r="A300" s="7" t="s">
        <v>547</v>
      </c>
      <c r="B300" s="1">
        <v>225</v>
      </c>
      <c r="C300" s="3" t="s">
        <v>324</v>
      </c>
      <c r="D300" s="1" t="s">
        <v>341</v>
      </c>
      <c r="E300" s="1" t="s">
        <v>22</v>
      </c>
      <c r="F300" s="1" t="str">
        <f>IF(LEFT(E300,2)="SP","SP","EX")</f>
        <v>EX</v>
      </c>
      <c r="G300" s="1" t="str">
        <f>LEFT(E300,2)</f>
        <v>PR</v>
      </c>
      <c r="H300" s="1" t="str">
        <f>LEFT(A300,FIND(" (",A300)-1)</f>
        <v>Vida Nova Olímpia</v>
      </c>
    </row>
    <row r="301" spans="1:8" x14ac:dyDescent="0.3">
      <c r="A301" s="7" t="s">
        <v>544</v>
      </c>
      <c r="B301" s="1">
        <v>197</v>
      </c>
      <c r="E301" s="1" t="s">
        <v>566</v>
      </c>
      <c r="F301"/>
      <c r="G301"/>
      <c r="H301"/>
    </row>
    <row r="302" spans="1:8" x14ac:dyDescent="0.3">
      <c r="A302" s="7" t="s">
        <v>563</v>
      </c>
      <c r="B302" s="1">
        <v>198</v>
      </c>
      <c r="E302" s="1" t="s">
        <v>566</v>
      </c>
      <c r="F302"/>
      <c r="G302"/>
      <c r="H302"/>
    </row>
    <row r="303" spans="1:8" x14ac:dyDescent="0.3">
      <c r="A303" t="s">
        <v>314</v>
      </c>
      <c r="B303" s="1">
        <v>182</v>
      </c>
      <c r="C303" s="1" t="s">
        <v>44</v>
      </c>
      <c r="D303" s="1" t="s">
        <v>337</v>
      </c>
      <c r="E303" s="1" t="s">
        <v>566</v>
      </c>
      <c r="F303" s="1" t="str">
        <f>IF(LEFT(E303,2)="SP","SP","EX")</f>
        <v>SP</v>
      </c>
      <c r="G303" s="1" t="str">
        <f>LEFT(E303,2)</f>
        <v>SP</v>
      </c>
      <c r="H303" s="1" t="s">
        <v>330</v>
      </c>
    </row>
    <row r="304" spans="1:8" x14ac:dyDescent="0.3">
      <c r="A304" s="7" t="s">
        <v>555</v>
      </c>
      <c r="B304" s="1">
        <v>230</v>
      </c>
      <c r="E304" s="1" t="s">
        <v>568</v>
      </c>
      <c r="F304" s="1" t="str">
        <f t="shared" ref="F304:F310" si="29">IF(LEFT(E304,2)="SP","SP","EX")</f>
        <v>SP</v>
      </c>
      <c r="G304" s="1" t="str">
        <f t="shared" ref="G304:G310" si="30">LEFT(E304,2)</f>
        <v>SP</v>
      </c>
      <c r="H304"/>
    </row>
    <row r="305" spans="1:8" x14ac:dyDescent="0.3">
      <c r="A305" s="7" t="s">
        <v>561</v>
      </c>
      <c r="B305" s="1">
        <v>194</v>
      </c>
      <c r="E305" s="1" t="s">
        <v>568</v>
      </c>
      <c r="F305" s="1" t="str">
        <f t="shared" si="29"/>
        <v>SP</v>
      </c>
      <c r="G305" s="1" t="str">
        <f t="shared" si="30"/>
        <v>SP</v>
      </c>
      <c r="H305"/>
    </row>
    <row r="306" spans="1:8" x14ac:dyDescent="0.3">
      <c r="A306" t="s">
        <v>320</v>
      </c>
      <c r="B306" s="1">
        <v>366</v>
      </c>
      <c r="C306" s="1" t="s">
        <v>323</v>
      </c>
      <c r="D306" s="1" t="s">
        <v>340</v>
      </c>
      <c r="E306" s="1" t="s">
        <v>568</v>
      </c>
      <c r="F306" s="1" t="str">
        <f t="shared" si="29"/>
        <v>SP</v>
      </c>
      <c r="G306" s="1" t="str">
        <f t="shared" si="30"/>
        <v>SP</v>
      </c>
      <c r="H306" s="1" t="str">
        <f>LEFT(A306,FIND(" (",A306)-1)</f>
        <v>Votuporanga</v>
      </c>
    </row>
    <row r="307" spans="1:8" x14ac:dyDescent="0.3">
      <c r="A307" t="s">
        <v>235</v>
      </c>
      <c r="B307" s="1">
        <v>554</v>
      </c>
      <c r="C307" s="1" t="s">
        <v>323</v>
      </c>
      <c r="D307" s="1" t="s">
        <v>340</v>
      </c>
      <c r="E307" s="1" t="s">
        <v>568</v>
      </c>
      <c r="F307" s="1" t="str">
        <f t="shared" si="29"/>
        <v>SP</v>
      </c>
      <c r="G307" s="1" t="str">
        <f t="shared" si="30"/>
        <v>SP</v>
      </c>
      <c r="H307" s="1" t="str">
        <f>LEFT(A307,FIND(" (",A307)-1)</f>
        <v>Votuporanga</v>
      </c>
    </row>
    <row r="308" spans="1:8" x14ac:dyDescent="0.3">
      <c r="A308" t="s">
        <v>236</v>
      </c>
      <c r="B308" s="1">
        <v>555</v>
      </c>
      <c r="C308" s="1" t="s">
        <v>323</v>
      </c>
      <c r="D308" s="1" t="s">
        <v>340</v>
      </c>
      <c r="E308" s="1" t="s">
        <v>568</v>
      </c>
      <c r="F308" s="1" t="str">
        <f t="shared" si="29"/>
        <v>SP</v>
      </c>
      <c r="G308" s="1" t="str">
        <f t="shared" si="30"/>
        <v>SP</v>
      </c>
      <c r="H308" s="1" t="str">
        <f>LEFT(A308,FIND(" (",A308)-1)</f>
        <v>Votuporanga</v>
      </c>
    </row>
    <row r="309" spans="1:8" x14ac:dyDescent="0.3">
      <c r="A309" t="s">
        <v>237</v>
      </c>
      <c r="B309" s="1">
        <v>556</v>
      </c>
      <c r="C309" s="1" t="s">
        <v>323</v>
      </c>
      <c r="D309" s="1" t="s">
        <v>340</v>
      </c>
      <c r="E309" s="1" t="s">
        <v>568</v>
      </c>
      <c r="F309" s="1" t="str">
        <f t="shared" si="29"/>
        <v>SP</v>
      </c>
      <c r="G309" s="1" t="str">
        <f t="shared" si="30"/>
        <v>SP</v>
      </c>
      <c r="H309" s="1" t="str">
        <f>LEFT(A309,FIND(" (",A309)-1)</f>
        <v>Votuporanga</v>
      </c>
    </row>
    <row r="310" spans="1:8" x14ac:dyDescent="0.3">
      <c r="A310" t="s">
        <v>238</v>
      </c>
      <c r="B310" s="1">
        <v>465</v>
      </c>
      <c r="C310" s="1" t="s">
        <v>323</v>
      </c>
      <c r="D310" s="1" t="s">
        <v>340</v>
      </c>
      <c r="E310" s="1" t="s">
        <v>568</v>
      </c>
      <c r="F310" s="1" t="str">
        <f t="shared" si="29"/>
        <v>SP</v>
      </c>
      <c r="G310" s="1" t="str">
        <f t="shared" si="30"/>
        <v>SP</v>
      </c>
      <c r="H310" s="1" t="str">
        <f>LEFT(A310,FIND(" (",A310)-1)</f>
        <v>Votuporanga</v>
      </c>
    </row>
    <row r="311" spans="1:8" x14ac:dyDescent="0.3">
      <c r="A311" t="s">
        <v>574</v>
      </c>
      <c r="B311" s="1">
        <v>500</v>
      </c>
    </row>
    <row r="312" spans="1:8" x14ac:dyDescent="0.3">
      <c r="A312" t="s">
        <v>575</v>
      </c>
      <c r="B312" s="1">
        <v>501</v>
      </c>
    </row>
    <row r="313" spans="1:8" x14ac:dyDescent="0.3">
      <c r="A313" t="s">
        <v>576</v>
      </c>
      <c r="B313" s="1">
        <v>502</v>
      </c>
    </row>
  </sheetData>
  <autoFilter ref="A1:H313" xr:uid="{B1D73C25-12FB-4E11-BD77-F4112AF2C5DE}"/>
  <phoneticPr fontId="1" type="noConversion"/>
  <conditionalFormatting sqref="B1:B1048576">
    <cfRule type="duplicateValues" dxfId="2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2B04A-9747-4802-8D0E-86620D0D8388}">
  <sheetPr>
    <tabColor rgb="FFFFC000"/>
  </sheetPr>
  <dimension ref="A1:B1"/>
  <sheetViews>
    <sheetView workbookViewId="0">
      <selection activeCell="E11" sqref="E11"/>
    </sheetView>
  </sheetViews>
  <sheetFormatPr defaultRowHeight="14.4" x14ac:dyDescent="0.3"/>
  <sheetData>
    <row r="1" spans="1:2" x14ac:dyDescent="0.3">
      <c r="A1" t="s">
        <v>0</v>
      </c>
      <c r="B1" t="s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661F6-604D-4D58-8F0A-E354BD9B2F7E}">
  <sheetPr>
    <tabColor rgb="FFFFC000"/>
  </sheetPr>
  <dimension ref="A1:C1"/>
  <sheetViews>
    <sheetView workbookViewId="0">
      <selection activeCell="E11" sqref="E11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B01D6-DAFA-48B2-8C96-F89796EF35B9}">
  <sheetPr>
    <tabColor rgb="FFFFC000"/>
  </sheetPr>
  <dimension ref="A1:D1"/>
  <sheetViews>
    <sheetView workbookViewId="0">
      <selection activeCell="E11" sqref="E11"/>
    </sheetView>
  </sheetViews>
  <sheetFormatPr defaultRowHeight="14.4" x14ac:dyDescent="0.3"/>
  <sheetData>
    <row r="1" spans="1:4" x14ac:dyDescent="0.3">
      <c r="A1" t="s">
        <v>0</v>
      </c>
      <c r="B1" t="s">
        <v>2</v>
      </c>
      <c r="C1" t="s">
        <v>1</v>
      </c>
      <c r="D1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4ACCA-0A8B-4C8D-A3A7-9D9A91D36CE0}">
  <sheetPr>
    <tabColor rgb="FF0070C0"/>
  </sheetPr>
  <dimension ref="A1:E187"/>
  <sheetViews>
    <sheetView topLeftCell="A34" zoomScaleNormal="100" workbookViewId="0">
      <selection activeCell="B90" sqref="B90"/>
    </sheetView>
  </sheetViews>
  <sheetFormatPr defaultRowHeight="14.4" x14ac:dyDescent="0.3"/>
  <cols>
    <col min="1" max="1" width="20" style="1" customWidth="1"/>
    <col min="2" max="2" width="21.33203125" style="1" customWidth="1"/>
    <col min="3" max="3" width="16" style="1" bestFit="1" customWidth="1"/>
    <col min="4" max="4" width="39.88671875" style="1" bestFit="1" customWidth="1"/>
    <col min="5" max="5" width="40.6640625" bestFit="1" customWidth="1"/>
  </cols>
  <sheetData>
    <row r="1" spans="1:5" x14ac:dyDescent="0.3">
      <c r="A1" s="1" t="s">
        <v>3</v>
      </c>
      <c r="B1" s="1" t="s">
        <v>4</v>
      </c>
      <c r="C1" s="1" t="s">
        <v>5</v>
      </c>
      <c r="D1" s="1" t="s">
        <v>6</v>
      </c>
      <c r="E1" t="s">
        <v>531</v>
      </c>
    </row>
    <row r="2" spans="1:5" x14ac:dyDescent="0.3">
      <c r="A2" s="1" t="s">
        <v>535</v>
      </c>
      <c r="B2" s="1">
        <v>200</v>
      </c>
      <c r="C2" s="4">
        <v>177770015728</v>
      </c>
      <c r="D2" s="1" t="s">
        <v>276</v>
      </c>
      <c r="E2" t="s">
        <v>398</v>
      </c>
    </row>
    <row r="3" spans="1:5" x14ac:dyDescent="0.3">
      <c r="A3" s="1" t="s">
        <v>535</v>
      </c>
      <c r="B3" s="1">
        <v>168</v>
      </c>
      <c r="C3" s="4">
        <v>177770015049</v>
      </c>
      <c r="D3" s="1" t="s">
        <v>279</v>
      </c>
      <c r="E3" t="s">
        <v>382</v>
      </c>
    </row>
    <row r="4" spans="1:5" x14ac:dyDescent="0.3">
      <c r="A4" s="1" t="s">
        <v>533</v>
      </c>
      <c r="B4" s="1">
        <v>265</v>
      </c>
      <c r="C4" s="4">
        <v>177770017546</v>
      </c>
      <c r="D4" s="1" t="s">
        <v>241</v>
      </c>
      <c r="E4" t="s">
        <v>426</v>
      </c>
    </row>
    <row r="5" spans="1:5" x14ac:dyDescent="0.3">
      <c r="A5" s="1" t="s">
        <v>535</v>
      </c>
      <c r="B5" s="1">
        <v>202</v>
      </c>
      <c r="C5" s="4">
        <v>177770012209</v>
      </c>
      <c r="D5" s="5" t="s">
        <v>240</v>
      </c>
      <c r="E5" t="s">
        <v>349</v>
      </c>
    </row>
    <row r="6" spans="1:5" x14ac:dyDescent="0.3">
      <c r="A6" s="1" t="s">
        <v>533</v>
      </c>
      <c r="B6" s="1">
        <v>185</v>
      </c>
      <c r="C6" s="4">
        <v>177770012416</v>
      </c>
      <c r="D6" s="5" t="s">
        <v>240</v>
      </c>
      <c r="E6" t="s">
        <v>351</v>
      </c>
    </row>
    <row r="7" spans="1:5" x14ac:dyDescent="0.3">
      <c r="A7" s="1" t="s">
        <v>532</v>
      </c>
      <c r="B7" s="1">
        <v>158</v>
      </c>
      <c r="C7" s="4">
        <v>177770012669</v>
      </c>
      <c r="D7" s="5" t="s">
        <v>240</v>
      </c>
      <c r="E7" t="s">
        <v>354</v>
      </c>
    </row>
    <row r="8" spans="1:5" x14ac:dyDescent="0.3">
      <c r="A8" s="1" t="s">
        <v>534</v>
      </c>
      <c r="B8" s="1">
        <v>138</v>
      </c>
      <c r="C8" s="4">
        <v>177770012676</v>
      </c>
      <c r="D8" s="5" t="s">
        <v>240</v>
      </c>
      <c r="E8" t="s">
        <v>355</v>
      </c>
    </row>
    <row r="9" spans="1:5" x14ac:dyDescent="0.3">
      <c r="A9" s="1" t="s">
        <v>535</v>
      </c>
      <c r="B9" s="1">
        <v>248</v>
      </c>
      <c r="C9" s="4">
        <v>177770015119</v>
      </c>
      <c r="D9" s="1" t="s">
        <v>266</v>
      </c>
      <c r="E9" t="s">
        <v>388</v>
      </c>
    </row>
    <row r="10" spans="1:5" x14ac:dyDescent="0.3">
      <c r="A10" s="1" t="s">
        <v>533</v>
      </c>
      <c r="B10" s="1">
        <v>193</v>
      </c>
      <c r="C10" s="4">
        <v>177770015125</v>
      </c>
      <c r="D10" s="1" t="s">
        <v>266</v>
      </c>
      <c r="E10" t="s">
        <v>389</v>
      </c>
    </row>
    <row r="11" spans="1:5" x14ac:dyDescent="0.3">
      <c r="A11" s="1" t="s">
        <v>535</v>
      </c>
      <c r="B11" s="1">
        <v>159</v>
      </c>
      <c r="C11" s="4">
        <v>177770023280</v>
      </c>
      <c r="D11" s="1" t="s">
        <v>66</v>
      </c>
      <c r="E11" t="s">
        <v>523</v>
      </c>
    </row>
    <row r="12" spans="1:5" x14ac:dyDescent="0.3">
      <c r="A12" s="1" t="s">
        <v>535</v>
      </c>
      <c r="B12" s="1">
        <v>281</v>
      </c>
      <c r="C12" s="4">
        <v>177770020672</v>
      </c>
      <c r="D12" s="1" t="s">
        <v>130</v>
      </c>
      <c r="E12" t="s">
        <v>470</v>
      </c>
    </row>
    <row r="13" spans="1:5" x14ac:dyDescent="0.3">
      <c r="A13" s="1" t="s">
        <v>533</v>
      </c>
      <c r="B13" s="1">
        <v>283</v>
      </c>
      <c r="C13" s="4">
        <v>177770021025</v>
      </c>
      <c r="D13" s="1" t="s">
        <v>130</v>
      </c>
      <c r="E13" t="s">
        <v>477</v>
      </c>
    </row>
    <row r="14" spans="1:5" x14ac:dyDescent="0.3">
      <c r="A14" s="1" t="s">
        <v>532</v>
      </c>
      <c r="B14" s="1">
        <v>264</v>
      </c>
      <c r="C14" s="4">
        <v>177770021851</v>
      </c>
      <c r="D14" s="1" t="s">
        <v>130</v>
      </c>
      <c r="E14" t="s">
        <v>487</v>
      </c>
    </row>
    <row r="15" spans="1:5" x14ac:dyDescent="0.3">
      <c r="A15" s="1" t="s">
        <v>534</v>
      </c>
      <c r="B15" s="1">
        <v>200</v>
      </c>
      <c r="C15" s="4">
        <v>177770023098</v>
      </c>
      <c r="D15" s="1" t="s">
        <v>130</v>
      </c>
      <c r="E15" t="s">
        <v>514</v>
      </c>
    </row>
    <row r="16" spans="1:5" x14ac:dyDescent="0.3">
      <c r="A16" s="1" t="s">
        <v>533</v>
      </c>
      <c r="B16" s="1">
        <v>171</v>
      </c>
      <c r="C16" s="4">
        <v>177770022355</v>
      </c>
      <c r="D16" s="1" t="s">
        <v>67</v>
      </c>
      <c r="E16" t="s">
        <v>496</v>
      </c>
    </row>
    <row r="17" spans="1:5" x14ac:dyDescent="0.3">
      <c r="A17" s="1" t="s">
        <v>535</v>
      </c>
      <c r="B17" s="1">
        <v>256</v>
      </c>
      <c r="C17" s="4">
        <v>177770021472</v>
      </c>
      <c r="D17" s="1" t="s">
        <v>67</v>
      </c>
      <c r="E17" t="s">
        <v>483</v>
      </c>
    </row>
    <row r="18" spans="1:5" x14ac:dyDescent="0.3">
      <c r="A18" s="1" t="s">
        <v>535</v>
      </c>
      <c r="B18" s="1">
        <v>275</v>
      </c>
      <c r="C18" s="4">
        <v>177770020255</v>
      </c>
      <c r="D18" s="1" t="s">
        <v>300</v>
      </c>
      <c r="E18" t="s">
        <v>463</v>
      </c>
    </row>
    <row r="19" spans="1:5" x14ac:dyDescent="0.3">
      <c r="A19" s="1" t="s">
        <v>535</v>
      </c>
      <c r="B19" s="1">
        <v>145</v>
      </c>
      <c r="C19" s="4">
        <v>177770017817</v>
      </c>
      <c r="D19" s="1" t="s">
        <v>299</v>
      </c>
      <c r="E19" t="s">
        <v>432</v>
      </c>
    </row>
    <row r="20" spans="1:5" x14ac:dyDescent="0.3">
      <c r="A20" s="1" t="s">
        <v>535</v>
      </c>
      <c r="B20" s="1">
        <v>168</v>
      </c>
      <c r="C20" s="4">
        <v>177770017717</v>
      </c>
      <c r="D20" s="1" t="s">
        <v>204</v>
      </c>
      <c r="E20" t="s">
        <v>431</v>
      </c>
    </row>
    <row r="21" spans="1:5" x14ac:dyDescent="0.3">
      <c r="A21" s="1" t="s">
        <v>533</v>
      </c>
      <c r="B21" s="1">
        <v>140</v>
      </c>
      <c r="C21" s="4">
        <v>177770018298</v>
      </c>
      <c r="D21" s="1" t="s">
        <v>204</v>
      </c>
      <c r="E21" t="s">
        <v>438</v>
      </c>
    </row>
    <row r="22" spans="1:5" x14ac:dyDescent="0.3">
      <c r="A22" s="1" t="s">
        <v>535</v>
      </c>
      <c r="B22" s="1">
        <v>154</v>
      </c>
      <c r="C22" s="4">
        <v>177770019557</v>
      </c>
      <c r="D22" s="1" t="s">
        <v>203</v>
      </c>
      <c r="E22" t="s">
        <v>455</v>
      </c>
    </row>
    <row r="23" spans="1:5" x14ac:dyDescent="0.3">
      <c r="A23" s="1" t="s">
        <v>533</v>
      </c>
      <c r="B23" s="1">
        <v>144</v>
      </c>
      <c r="C23" s="4">
        <v>177770020214</v>
      </c>
      <c r="D23" s="1" t="s">
        <v>203</v>
      </c>
      <c r="E23" t="s">
        <v>462</v>
      </c>
    </row>
    <row r="24" spans="1:5" x14ac:dyDescent="0.3">
      <c r="A24" s="1" t="s">
        <v>535</v>
      </c>
      <c r="B24" s="1">
        <v>133</v>
      </c>
      <c r="C24" s="4">
        <v>177770020323</v>
      </c>
      <c r="D24" s="1" t="s">
        <v>201</v>
      </c>
      <c r="E24" t="s">
        <v>464</v>
      </c>
    </row>
    <row r="25" spans="1:5" x14ac:dyDescent="0.3">
      <c r="A25" s="1" t="s">
        <v>533</v>
      </c>
      <c r="B25" s="1">
        <v>129</v>
      </c>
      <c r="C25" s="4">
        <v>177770021610</v>
      </c>
      <c r="D25" s="1" t="s">
        <v>201</v>
      </c>
      <c r="E25" t="s">
        <v>486</v>
      </c>
    </row>
    <row r="26" spans="1:5" x14ac:dyDescent="0.3">
      <c r="A26" s="1" t="s">
        <v>535</v>
      </c>
      <c r="B26" s="1">
        <v>190</v>
      </c>
      <c r="C26" s="4">
        <v>177770017608</v>
      </c>
      <c r="D26" s="1" t="s">
        <v>202</v>
      </c>
      <c r="E26" t="s">
        <v>429</v>
      </c>
    </row>
    <row r="27" spans="1:5" x14ac:dyDescent="0.3">
      <c r="A27" s="1" t="s">
        <v>533</v>
      </c>
      <c r="B27" s="1">
        <v>110</v>
      </c>
      <c r="C27" s="4">
        <v>177770017856</v>
      </c>
      <c r="D27" s="1" t="s">
        <v>202</v>
      </c>
      <c r="E27" t="s">
        <v>433</v>
      </c>
    </row>
    <row r="28" spans="1:5" x14ac:dyDescent="0.3">
      <c r="A28" s="1" t="s">
        <v>539</v>
      </c>
      <c r="B28" s="1">
        <v>156</v>
      </c>
      <c r="C28" s="4">
        <v>177770017571</v>
      </c>
      <c r="D28" s="1" t="s">
        <v>295</v>
      </c>
      <c r="E28" t="s">
        <v>427</v>
      </c>
    </row>
    <row r="29" spans="1:5" x14ac:dyDescent="0.3">
      <c r="A29" s="1" t="s">
        <v>533</v>
      </c>
      <c r="B29" s="1">
        <v>231</v>
      </c>
      <c r="C29" s="4">
        <v>177770015113</v>
      </c>
      <c r="D29" s="1" t="s">
        <v>268</v>
      </c>
      <c r="E29" t="s">
        <v>386</v>
      </c>
    </row>
    <row r="30" spans="1:5" x14ac:dyDescent="0.3">
      <c r="A30" s="1" t="s">
        <v>532</v>
      </c>
      <c r="B30" s="1">
        <v>165</v>
      </c>
      <c r="C30" s="4">
        <v>177770015177</v>
      </c>
      <c r="D30" s="1" t="s">
        <v>268</v>
      </c>
      <c r="E30" t="s">
        <v>391</v>
      </c>
    </row>
    <row r="31" spans="1:5" x14ac:dyDescent="0.3">
      <c r="A31" s="1" t="s">
        <v>534</v>
      </c>
      <c r="B31" s="1">
        <v>220</v>
      </c>
      <c r="C31" s="4">
        <v>177770016242</v>
      </c>
      <c r="D31" s="1" t="s">
        <v>269</v>
      </c>
      <c r="E31" t="s">
        <v>406</v>
      </c>
    </row>
    <row r="32" spans="1:5" x14ac:dyDescent="0.3">
      <c r="A32" s="1" t="s">
        <v>536</v>
      </c>
      <c r="B32" s="1">
        <v>221</v>
      </c>
      <c r="C32" s="4">
        <v>177770017242</v>
      </c>
      <c r="D32" s="1" t="s">
        <v>269</v>
      </c>
      <c r="E32" t="s">
        <v>419</v>
      </c>
    </row>
    <row r="33" spans="1:5" x14ac:dyDescent="0.3">
      <c r="A33" s="1" t="s">
        <v>538</v>
      </c>
      <c r="B33" s="1">
        <v>198</v>
      </c>
      <c r="C33" s="4">
        <v>177770018078</v>
      </c>
      <c r="D33" s="1" t="s">
        <v>269</v>
      </c>
      <c r="E33" t="s">
        <v>435</v>
      </c>
    </row>
    <row r="34" spans="1:5" x14ac:dyDescent="0.3">
      <c r="A34" s="1" t="s">
        <v>535</v>
      </c>
      <c r="B34" s="1">
        <v>342</v>
      </c>
      <c r="C34" s="4">
        <v>177770015114</v>
      </c>
      <c r="D34" s="1" t="s">
        <v>268</v>
      </c>
      <c r="E34" t="s">
        <v>387</v>
      </c>
    </row>
    <row r="35" spans="1:5" x14ac:dyDescent="0.3">
      <c r="A35" s="1" t="s">
        <v>535</v>
      </c>
      <c r="B35" s="1">
        <v>100</v>
      </c>
      <c r="C35" s="4">
        <v>177770020733</v>
      </c>
      <c r="D35" s="1" t="s">
        <v>245</v>
      </c>
      <c r="E35" t="s">
        <v>472</v>
      </c>
    </row>
    <row r="36" spans="1:5" x14ac:dyDescent="0.3">
      <c r="A36" s="1" t="s">
        <v>535</v>
      </c>
      <c r="B36" s="1">
        <v>439</v>
      </c>
      <c r="C36" s="4">
        <v>177770021940</v>
      </c>
      <c r="D36" s="1" t="s">
        <v>116</v>
      </c>
      <c r="E36" t="s">
        <v>490</v>
      </c>
    </row>
    <row r="37" spans="1:5" x14ac:dyDescent="0.3">
      <c r="A37" s="1" t="s">
        <v>533</v>
      </c>
      <c r="B37" s="1">
        <v>303</v>
      </c>
      <c r="C37" s="4">
        <v>177770022436</v>
      </c>
      <c r="D37" s="1" t="s">
        <v>116</v>
      </c>
      <c r="E37" t="s">
        <v>498</v>
      </c>
    </row>
    <row r="38" spans="1:5" x14ac:dyDescent="0.3">
      <c r="A38" s="1" t="s">
        <v>532</v>
      </c>
      <c r="B38" s="1">
        <v>303</v>
      </c>
      <c r="C38" s="4">
        <v>177770022809</v>
      </c>
      <c r="D38" s="1" t="s">
        <v>116</v>
      </c>
      <c r="E38" t="s">
        <v>506</v>
      </c>
    </row>
    <row r="39" spans="1:5" x14ac:dyDescent="0.3">
      <c r="A39" s="1" t="s">
        <v>534</v>
      </c>
      <c r="B39" s="1">
        <v>500</v>
      </c>
      <c r="C39" s="4">
        <v>177770023124</v>
      </c>
      <c r="D39" s="1" t="s">
        <v>117</v>
      </c>
      <c r="E39" t="s">
        <v>518</v>
      </c>
    </row>
    <row r="40" spans="1:5" x14ac:dyDescent="0.3">
      <c r="A40" s="1" t="s">
        <v>536</v>
      </c>
      <c r="B40" s="1">
        <v>492</v>
      </c>
      <c r="C40" s="4">
        <v>177770023331</v>
      </c>
      <c r="D40" s="1" t="s">
        <v>117</v>
      </c>
      <c r="E40" t="s">
        <v>524</v>
      </c>
    </row>
    <row r="41" spans="1:5" x14ac:dyDescent="0.3">
      <c r="A41" s="1" t="s">
        <v>532</v>
      </c>
      <c r="B41" s="1">
        <v>214</v>
      </c>
      <c r="C41" s="4">
        <v>177770016240</v>
      </c>
      <c r="D41" s="1" t="s">
        <v>309</v>
      </c>
      <c r="E41" t="s">
        <v>405</v>
      </c>
    </row>
    <row r="42" spans="1:5" x14ac:dyDescent="0.3">
      <c r="A42" s="1" t="s">
        <v>534</v>
      </c>
      <c r="B42" s="1">
        <v>218</v>
      </c>
      <c r="C42" s="4">
        <v>177770018354</v>
      </c>
      <c r="D42" s="1" t="s">
        <v>309</v>
      </c>
      <c r="E42" t="s">
        <v>441</v>
      </c>
    </row>
    <row r="43" spans="1:5" x14ac:dyDescent="0.3">
      <c r="A43" s="1" t="s">
        <v>536</v>
      </c>
      <c r="B43" s="1">
        <v>155</v>
      </c>
      <c r="C43" s="4">
        <v>177770018948</v>
      </c>
      <c r="D43" s="1" t="s">
        <v>309</v>
      </c>
      <c r="E43" t="s">
        <v>451</v>
      </c>
    </row>
    <row r="44" spans="1:5" x14ac:dyDescent="0.3">
      <c r="A44" s="1" t="s">
        <v>535</v>
      </c>
      <c r="B44" s="1">
        <v>339</v>
      </c>
      <c r="C44" s="4">
        <v>177770022531</v>
      </c>
      <c r="D44" s="1" t="s">
        <v>108</v>
      </c>
      <c r="E44" t="s">
        <v>499</v>
      </c>
    </row>
    <row r="45" spans="1:5" x14ac:dyDescent="0.3">
      <c r="A45" s="1" t="s">
        <v>533</v>
      </c>
      <c r="B45" s="1">
        <v>292</v>
      </c>
      <c r="C45" s="4">
        <v>177770023086</v>
      </c>
      <c r="D45" s="1" t="s">
        <v>108</v>
      </c>
      <c r="E45" t="s">
        <v>511</v>
      </c>
    </row>
    <row r="46" spans="1:5" x14ac:dyDescent="0.3">
      <c r="A46" s="1" t="s">
        <v>535</v>
      </c>
      <c r="B46" s="1">
        <v>54</v>
      </c>
      <c r="C46" s="4">
        <v>177770014876</v>
      </c>
      <c r="D46" s="1" t="s">
        <v>248</v>
      </c>
      <c r="E46" t="s">
        <v>378</v>
      </c>
    </row>
    <row r="47" spans="1:5" x14ac:dyDescent="0.3">
      <c r="A47" s="1" t="s">
        <v>535</v>
      </c>
      <c r="B47" s="1">
        <v>210</v>
      </c>
      <c r="C47" s="4">
        <v>177770010550</v>
      </c>
      <c r="D47" s="1" t="s">
        <v>304</v>
      </c>
      <c r="E47" t="s">
        <v>345</v>
      </c>
    </row>
    <row r="48" spans="1:5" x14ac:dyDescent="0.3">
      <c r="A48" s="1" t="s">
        <v>533</v>
      </c>
      <c r="B48" s="1">
        <v>202</v>
      </c>
      <c r="C48" s="4">
        <v>177770013775</v>
      </c>
      <c r="D48" s="1" t="s">
        <v>304</v>
      </c>
      <c r="E48" t="s">
        <v>365</v>
      </c>
    </row>
    <row r="49" spans="1:5" x14ac:dyDescent="0.3">
      <c r="A49" s="1" t="s">
        <v>535</v>
      </c>
      <c r="B49" s="1">
        <v>239</v>
      </c>
      <c r="C49" s="4">
        <v>177770015096</v>
      </c>
      <c r="D49" s="6" t="s">
        <v>540</v>
      </c>
      <c r="E49" t="s">
        <v>385</v>
      </c>
    </row>
    <row r="50" spans="1:5" x14ac:dyDescent="0.3">
      <c r="A50" s="1" t="s">
        <v>533</v>
      </c>
      <c r="B50" s="1">
        <v>120</v>
      </c>
      <c r="C50" s="4">
        <v>177770015093</v>
      </c>
      <c r="D50" s="6" t="s">
        <v>540</v>
      </c>
      <c r="E50" t="s">
        <v>384</v>
      </c>
    </row>
    <row r="51" spans="1:5" x14ac:dyDescent="0.3">
      <c r="A51" s="1" t="s">
        <v>535</v>
      </c>
      <c r="B51" s="1">
        <v>202</v>
      </c>
      <c r="C51" s="4">
        <v>177770015915</v>
      </c>
      <c r="D51" s="1" t="s">
        <v>240</v>
      </c>
      <c r="E51" t="s">
        <v>401</v>
      </c>
    </row>
    <row r="52" spans="1:5" x14ac:dyDescent="0.3">
      <c r="A52" s="1" t="s">
        <v>532</v>
      </c>
      <c r="B52" s="1">
        <v>158</v>
      </c>
      <c r="C52" s="4">
        <v>177770018661</v>
      </c>
      <c r="D52" s="1" t="s">
        <v>240</v>
      </c>
      <c r="E52" t="s">
        <v>446</v>
      </c>
    </row>
    <row r="53" spans="1:5" x14ac:dyDescent="0.3">
      <c r="A53" s="1" t="s">
        <v>533</v>
      </c>
      <c r="B53" s="1">
        <v>195</v>
      </c>
      <c r="C53" s="4">
        <v>177770014416</v>
      </c>
      <c r="D53" s="1" t="s">
        <v>259</v>
      </c>
      <c r="E53" t="s">
        <v>374</v>
      </c>
    </row>
    <row r="54" spans="1:5" x14ac:dyDescent="0.3">
      <c r="A54" s="1" t="s">
        <v>535</v>
      </c>
      <c r="B54" s="1">
        <v>217</v>
      </c>
      <c r="C54" s="4">
        <v>177770014027</v>
      </c>
      <c r="D54" s="1" t="s">
        <v>259</v>
      </c>
      <c r="E54" t="s">
        <v>369</v>
      </c>
    </row>
    <row r="55" spans="1:5" x14ac:dyDescent="0.3">
      <c r="A55" s="1" t="s">
        <v>535</v>
      </c>
      <c r="B55" s="1">
        <v>176</v>
      </c>
      <c r="C55" s="4">
        <v>177770013969</v>
      </c>
      <c r="D55" s="1" t="s">
        <v>284</v>
      </c>
      <c r="E55" t="s">
        <v>367</v>
      </c>
    </row>
    <row r="56" spans="1:5" x14ac:dyDescent="0.3">
      <c r="A56" s="1" t="s">
        <v>533</v>
      </c>
      <c r="B56" s="1">
        <v>159</v>
      </c>
      <c r="C56" s="4">
        <v>177770014466</v>
      </c>
      <c r="D56" s="1" t="s">
        <v>285</v>
      </c>
      <c r="E56" t="s">
        <v>375</v>
      </c>
    </row>
    <row r="57" spans="1:5" x14ac:dyDescent="0.3">
      <c r="A57" s="1" t="s">
        <v>532</v>
      </c>
      <c r="B57" s="1">
        <v>22</v>
      </c>
      <c r="C57" s="4">
        <v>177770015262</v>
      </c>
      <c r="D57" s="1" t="s">
        <v>285</v>
      </c>
      <c r="E57" t="s">
        <v>392</v>
      </c>
    </row>
    <row r="58" spans="1:5" x14ac:dyDescent="0.3">
      <c r="A58" s="1" t="s">
        <v>533</v>
      </c>
      <c r="B58" s="1">
        <v>266</v>
      </c>
      <c r="C58" s="4">
        <v>177770017866</v>
      </c>
      <c r="D58" s="1" t="s">
        <v>303</v>
      </c>
      <c r="E58" t="s">
        <v>434</v>
      </c>
    </row>
    <row r="59" spans="1:5" x14ac:dyDescent="0.3">
      <c r="A59" s="1" t="s">
        <v>532</v>
      </c>
      <c r="B59" s="1">
        <v>264</v>
      </c>
      <c r="C59" s="4">
        <v>177770018347</v>
      </c>
      <c r="D59" s="1" t="s">
        <v>303</v>
      </c>
      <c r="E59" t="s">
        <v>440</v>
      </c>
    </row>
    <row r="60" spans="1:5" x14ac:dyDescent="0.3">
      <c r="A60" s="1" t="s">
        <v>534</v>
      </c>
      <c r="B60" s="1">
        <v>119</v>
      </c>
      <c r="C60" s="4">
        <v>177770019815</v>
      </c>
      <c r="D60" s="1" t="s">
        <v>144</v>
      </c>
      <c r="E60" t="s">
        <v>456</v>
      </c>
    </row>
    <row r="61" spans="1:5" x14ac:dyDescent="0.3">
      <c r="A61" s="1" t="s">
        <v>536</v>
      </c>
      <c r="B61" s="1">
        <v>228</v>
      </c>
      <c r="C61" s="4">
        <v>177770020925</v>
      </c>
      <c r="D61" s="1" t="s">
        <v>144</v>
      </c>
      <c r="E61" t="s">
        <v>475</v>
      </c>
    </row>
    <row r="62" spans="1:5" x14ac:dyDescent="0.3">
      <c r="A62" s="1" t="s">
        <v>538</v>
      </c>
      <c r="B62" s="1">
        <v>247</v>
      </c>
      <c r="C62" s="4">
        <v>177770021334</v>
      </c>
      <c r="D62" s="1" t="s">
        <v>144</v>
      </c>
      <c r="E62" t="s">
        <v>482</v>
      </c>
    </row>
    <row r="63" spans="1:5" x14ac:dyDescent="0.3">
      <c r="A63" s="1" t="s">
        <v>537</v>
      </c>
      <c r="B63" s="1">
        <v>119</v>
      </c>
      <c r="C63" s="4">
        <v>177770021868</v>
      </c>
      <c r="D63" s="1" t="s">
        <v>144</v>
      </c>
      <c r="E63" t="s">
        <v>489</v>
      </c>
    </row>
    <row r="64" spans="1:5" x14ac:dyDescent="0.3">
      <c r="A64" s="1" t="s">
        <v>535</v>
      </c>
      <c r="B64" s="1">
        <v>331</v>
      </c>
      <c r="C64" s="4">
        <v>177770017584</v>
      </c>
      <c r="D64" s="1" t="s">
        <v>303</v>
      </c>
      <c r="E64" t="s">
        <v>428</v>
      </c>
    </row>
    <row r="65" spans="1:5" x14ac:dyDescent="0.3">
      <c r="A65" s="1" t="s">
        <v>535</v>
      </c>
      <c r="B65" s="1">
        <v>359</v>
      </c>
      <c r="C65" s="4">
        <v>177770015003</v>
      </c>
      <c r="D65" s="1" t="s">
        <v>260</v>
      </c>
      <c r="E65" t="s">
        <v>379</v>
      </c>
    </row>
    <row r="66" spans="1:5" x14ac:dyDescent="0.3">
      <c r="A66" s="1" t="s">
        <v>534</v>
      </c>
      <c r="B66" s="1">
        <v>209</v>
      </c>
      <c r="C66" s="4">
        <v>177770022553</v>
      </c>
      <c r="D66" s="1" t="s">
        <v>171</v>
      </c>
      <c r="E66" t="s">
        <v>502</v>
      </c>
    </row>
    <row r="67" spans="1:5" x14ac:dyDescent="0.3">
      <c r="A67" s="1" t="s">
        <v>533</v>
      </c>
      <c r="B67" s="1">
        <v>229</v>
      </c>
      <c r="C67" s="4">
        <v>177770015295</v>
      </c>
      <c r="D67" s="1" t="s">
        <v>308</v>
      </c>
      <c r="E67" t="s">
        <v>393</v>
      </c>
    </row>
    <row r="68" spans="1:5" x14ac:dyDescent="0.3">
      <c r="A68" s="1" t="s">
        <v>535</v>
      </c>
      <c r="B68" s="1">
        <v>353</v>
      </c>
      <c r="C68" s="4">
        <v>177770015296</v>
      </c>
      <c r="D68" s="1" t="s">
        <v>308</v>
      </c>
      <c r="E68" t="s">
        <v>394</v>
      </c>
    </row>
    <row r="69" spans="1:5" x14ac:dyDescent="0.3">
      <c r="A69" s="1" t="s">
        <v>533</v>
      </c>
      <c r="B69" s="1">
        <v>167</v>
      </c>
      <c r="C69" s="4">
        <v>177770015344</v>
      </c>
      <c r="D69" s="1" t="s">
        <v>313</v>
      </c>
      <c r="E69" t="s">
        <v>396</v>
      </c>
    </row>
    <row r="70" spans="1:5" x14ac:dyDescent="0.3">
      <c r="A70" s="1" t="s">
        <v>535</v>
      </c>
      <c r="B70" s="1">
        <v>209</v>
      </c>
      <c r="C70" s="4">
        <v>177770015336</v>
      </c>
      <c r="D70" s="1" t="s">
        <v>313</v>
      </c>
      <c r="E70" t="s">
        <v>395</v>
      </c>
    </row>
    <row r="71" spans="1:5" x14ac:dyDescent="0.3">
      <c r="A71" s="1" t="s">
        <v>532</v>
      </c>
      <c r="B71" s="1">
        <v>155</v>
      </c>
      <c r="C71" s="4">
        <v>177770012750</v>
      </c>
      <c r="D71" s="1" t="s">
        <v>315</v>
      </c>
      <c r="E71" t="s">
        <v>358</v>
      </c>
    </row>
    <row r="72" spans="1:5" x14ac:dyDescent="0.3">
      <c r="A72" s="1" t="s">
        <v>535</v>
      </c>
      <c r="B72" s="1">
        <v>186</v>
      </c>
      <c r="C72" s="4">
        <v>177770015058</v>
      </c>
      <c r="D72" s="1" t="s">
        <v>249</v>
      </c>
      <c r="E72" t="s">
        <v>383</v>
      </c>
    </row>
    <row r="73" spans="1:5" x14ac:dyDescent="0.3">
      <c r="A73" s="1" t="s">
        <v>535</v>
      </c>
      <c r="B73" s="1">
        <v>252</v>
      </c>
      <c r="C73" s="4">
        <v>177770016748</v>
      </c>
      <c r="D73" s="1" t="s">
        <v>244</v>
      </c>
      <c r="E73" t="s">
        <v>414</v>
      </c>
    </row>
    <row r="74" spans="1:5" x14ac:dyDescent="0.3">
      <c r="A74" s="1" t="s">
        <v>533</v>
      </c>
      <c r="B74" s="1">
        <v>164</v>
      </c>
      <c r="C74" s="4">
        <v>177770017221</v>
      </c>
      <c r="D74" s="1" t="s">
        <v>244</v>
      </c>
      <c r="E74" t="s">
        <v>418</v>
      </c>
    </row>
    <row r="75" spans="1:5" x14ac:dyDescent="0.3">
      <c r="A75" s="1" t="s">
        <v>532</v>
      </c>
      <c r="B75" s="1">
        <v>165</v>
      </c>
      <c r="C75" s="4">
        <v>177770017263</v>
      </c>
      <c r="D75" s="1" t="s">
        <v>244</v>
      </c>
      <c r="E75" t="s">
        <v>421</v>
      </c>
    </row>
    <row r="76" spans="1:5" x14ac:dyDescent="0.3">
      <c r="A76" s="1" t="s">
        <v>535</v>
      </c>
      <c r="B76" s="1">
        <v>260</v>
      </c>
      <c r="C76" s="4">
        <v>177770018955</v>
      </c>
      <c r="D76" s="1" t="s">
        <v>267</v>
      </c>
      <c r="E76" t="s">
        <v>452</v>
      </c>
    </row>
    <row r="77" spans="1:5" x14ac:dyDescent="0.3">
      <c r="A77" s="1" t="s">
        <v>533</v>
      </c>
      <c r="B77" s="1">
        <v>177</v>
      </c>
      <c r="C77" s="4">
        <v>177770020464</v>
      </c>
      <c r="D77" s="1" t="s">
        <v>267</v>
      </c>
      <c r="E77" t="s">
        <v>466</v>
      </c>
    </row>
    <row r="78" spans="1:5" x14ac:dyDescent="0.3">
      <c r="A78" s="1" t="s">
        <v>533</v>
      </c>
      <c r="B78" s="1">
        <v>159</v>
      </c>
      <c r="C78" s="4">
        <v>177770020760</v>
      </c>
      <c r="D78" s="1" t="s">
        <v>104</v>
      </c>
      <c r="E78" t="s">
        <v>474</v>
      </c>
    </row>
    <row r="79" spans="1:5" x14ac:dyDescent="0.3">
      <c r="A79" s="1" t="s">
        <v>532</v>
      </c>
      <c r="B79" s="1">
        <v>189</v>
      </c>
      <c r="C79" s="4">
        <v>177770021321</v>
      </c>
      <c r="D79" s="1" t="s">
        <v>104</v>
      </c>
      <c r="E79" t="s">
        <v>480</v>
      </c>
    </row>
    <row r="80" spans="1:5" x14ac:dyDescent="0.3">
      <c r="A80" s="1" t="s">
        <v>534</v>
      </c>
      <c r="B80" s="1">
        <v>193</v>
      </c>
      <c r="C80" s="4">
        <v>177770023389</v>
      </c>
      <c r="D80" s="1" t="s">
        <v>104</v>
      </c>
      <c r="E80" t="s">
        <v>526</v>
      </c>
    </row>
    <row r="81" spans="1:5" x14ac:dyDescent="0.3">
      <c r="A81" s="1" t="s">
        <v>535</v>
      </c>
      <c r="B81" s="1">
        <v>231</v>
      </c>
      <c r="C81" s="4">
        <v>177770019405</v>
      </c>
      <c r="D81" s="1" t="s">
        <v>104</v>
      </c>
      <c r="E81" t="s">
        <v>453</v>
      </c>
    </row>
    <row r="82" spans="1:5" x14ac:dyDescent="0.3">
      <c r="A82" s="1" t="s">
        <v>535</v>
      </c>
      <c r="B82" s="1">
        <v>348</v>
      </c>
      <c r="C82" s="4">
        <v>177770017451</v>
      </c>
      <c r="D82" s="1" t="s">
        <v>92</v>
      </c>
      <c r="E82" t="s">
        <v>422</v>
      </c>
    </row>
    <row r="83" spans="1:5" x14ac:dyDescent="0.3">
      <c r="A83" s="1" t="s">
        <v>535</v>
      </c>
      <c r="B83" s="1">
        <v>441</v>
      </c>
      <c r="C83" s="4">
        <v>177770018873</v>
      </c>
      <c r="D83" s="1" t="s">
        <v>90</v>
      </c>
      <c r="E83" t="s">
        <v>448</v>
      </c>
    </row>
    <row r="84" spans="1:5" x14ac:dyDescent="0.3">
      <c r="A84" s="1" t="s">
        <v>535</v>
      </c>
      <c r="B84" s="1">
        <v>298</v>
      </c>
      <c r="C84" s="4">
        <v>177770017622</v>
      </c>
      <c r="D84" s="1" t="s">
        <v>320</v>
      </c>
      <c r="E84" t="s">
        <v>430</v>
      </c>
    </row>
    <row r="85" spans="1:5" x14ac:dyDescent="0.3">
      <c r="A85" s="1" t="s">
        <v>533</v>
      </c>
      <c r="B85" s="1">
        <v>267</v>
      </c>
      <c r="C85" s="4">
        <v>177770018257</v>
      </c>
      <c r="D85" s="1" t="s">
        <v>320</v>
      </c>
      <c r="E85" t="s">
        <v>437</v>
      </c>
    </row>
    <row r="86" spans="1:5" x14ac:dyDescent="0.3">
      <c r="A86" s="1" t="s">
        <v>532</v>
      </c>
      <c r="B86" s="1">
        <v>233</v>
      </c>
      <c r="C86" s="4">
        <v>177770018608</v>
      </c>
      <c r="D86" s="1" t="s">
        <v>320</v>
      </c>
      <c r="E86" t="s">
        <v>444</v>
      </c>
    </row>
    <row r="87" spans="1:5" x14ac:dyDescent="0.3">
      <c r="A87" s="1" t="s">
        <v>535</v>
      </c>
      <c r="B87" s="1">
        <v>339</v>
      </c>
      <c r="C87" s="4">
        <v>177770022830</v>
      </c>
      <c r="D87" s="1" t="s">
        <v>238</v>
      </c>
      <c r="E87" t="s">
        <v>509</v>
      </c>
    </row>
    <row r="88" spans="1:5" x14ac:dyDescent="0.3">
      <c r="A88" s="1" t="s">
        <v>533</v>
      </c>
      <c r="B88" s="1">
        <v>292</v>
      </c>
      <c r="C88" s="4">
        <v>177770023101</v>
      </c>
      <c r="D88" s="1" t="s">
        <v>238</v>
      </c>
      <c r="E88" t="s">
        <v>515</v>
      </c>
    </row>
    <row r="89" spans="1:5" x14ac:dyDescent="0.3">
      <c r="A89" s="1" t="s">
        <v>532</v>
      </c>
      <c r="B89" s="1">
        <v>213</v>
      </c>
      <c r="C89" s="4">
        <v>177770023424</v>
      </c>
      <c r="D89" s="1" t="s">
        <v>238</v>
      </c>
      <c r="E89" t="s">
        <v>528</v>
      </c>
    </row>
    <row r="90" spans="1:5" x14ac:dyDescent="0.3">
      <c r="A90" s="1" t="s">
        <v>535</v>
      </c>
      <c r="B90" s="1">
        <v>252</v>
      </c>
      <c r="C90" s="4">
        <v>177770018299</v>
      </c>
      <c r="D90" s="1" t="s">
        <v>311</v>
      </c>
      <c r="E90" t="s">
        <v>439</v>
      </c>
    </row>
    <row r="91" spans="1:5" x14ac:dyDescent="0.3">
      <c r="A91" s="1" t="s">
        <v>535</v>
      </c>
      <c r="B91" s="1">
        <v>270</v>
      </c>
      <c r="C91" s="4">
        <v>177770022566</v>
      </c>
      <c r="D91" s="1" t="s">
        <v>62</v>
      </c>
      <c r="E91" t="s">
        <v>503</v>
      </c>
    </row>
    <row r="92" spans="1:5" x14ac:dyDescent="0.3">
      <c r="A92" s="1" t="s">
        <v>533</v>
      </c>
      <c r="B92" s="1">
        <v>198</v>
      </c>
      <c r="C92" s="4">
        <v>177770023097</v>
      </c>
      <c r="D92" s="1" t="s">
        <v>62</v>
      </c>
      <c r="E92" t="s">
        <v>513</v>
      </c>
    </row>
    <row r="93" spans="1:5" x14ac:dyDescent="0.3">
      <c r="A93" s="1" t="s">
        <v>532</v>
      </c>
      <c r="B93" s="1">
        <v>148</v>
      </c>
      <c r="C93" s="4">
        <v>177770023392</v>
      </c>
      <c r="D93" s="1" t="s">
        <v>62</v>
      </c>
      <c r="E93" t="s">
        <v>527</v>
      </c>
    </row>
    <row r="94" spans="1:5" x14ac:dyDescent="0.3">
      <c r="A94" s="1" t="s">
        <v>535</v>
      </c>
      <c r="B94" s="1">
        <v>277</v>
      </c>
      <c r="C94" s="4">
        <v>177770020998</v>
      </c>
      <c r="D94" s="1" t="s">
        <v>118</v>
      </c>
      <c r="E94" t="s">
        <v>476</v>
      </c>
    </row>
    <row r="95" spans="1:5" x14ac:dyDescent="0.3">
      <c r="A95" s="1" t="s">
        <v>533</v>
      </c>
      <c r="B95" s="1">
        <v>266</v>
      </c>
      <c r="C95" s="4">
        <v>177770022167</v>
      </c>
      <c r="D95" s="1" t="s">
        <v>118</v>
      </c>
      <c r="E95" t="s">
        <v>494</v>
      </c>
    </row>
    <row r="96" spans="1:5" x14ac:dyDescent="0.3">
      <c r="A96" s="1" t="s">
        <v>533</v>
      </c>
      <c r="B96" s="1">
        <v>432</v>
      </c>
      <c r="C96" s="4">
        <v>177770023605</v>
      </c>
      <c r="D96" s="1" t="s">
        <v>145</v>
      </c>
      <c r="E96" t="s">
        <v>530</v>
      </c>
    </row>
    <row r="97" spans="1:5" x14ac:dyDescent="0.3">
      <c r="A97" s="1" t="s">
        <v>535</v>
      </c>
      <c r="B97" s="1">
        <v>444</v>
      </c>
      <c r="C97" s="4">
        <v>177770023488</v>
      </c>
      <c r="D97" s="1" t="s">
        <v>145</v>
      </c>
      <c r="E97" t="s">
        <v>529</v>
      </c>
    </row>
    <row r="98" spans="1:5" x14ac:dyDescent="0.3">
      <c r="A98" s="1" t="s">
        <v>533</v>
      </c>
      <c r="B98" s="1">
        <v>185</v>
      </c>
      <c r="C98" s="4">
        <v>177770017082</v>
      </c>
      <c r="D98" s="1" t="s">
        <v>310</v>
      </c>
      <c r="E98" t="s">
        <v>417</v>
      </c>
    </row>
    <row r="99" spans="1:5" x14ac:dyDescent="0.3">
      <c r="A99" s="1" t="s">
        <v>535</v>
      </c>
      <c r="B99" s="1">
        <v>261</v>
      </c>
      <c r="C99" s="4">
        <v>177770016606</v>
      </c>
      <c r="D99" s="1" t="s">
        <v>310</v>
      </c>
      <c r="E99" t="s">
        <v>412</v>
      </c>
    </row>
    <row r="100" spans="1:5" x14ac:dyDescent="0.3">
      <c r="A100" s="1" t="s">
        <v>535</v>
      </c>
      <c r="B100" s="1">
        <v>299</v>
      </c>
      <c r="C100" s="4">
        <v>177770022811</v>
      </c>
      <c r="D100" s="1" t="s">
        <v>82</v>
      </c>
      <c r="E100" t="s">
        <v>507</v>
      </c>
    </row>
    <row r="101" spans="1:5" x14ac:dyDescent="0.3">
      <c r="A101" s="1" t="s">
        <v>535</v>
      </c>
      <c r="B101" s="1">
        <v>350</v>
      </c>
      <c r="C101" s="4">
        <v>177770022064</v>
      </c>
      <c r="D101" s="1" t="s">
        <v>71</v>
      </c>
      <c r="E101" t="s">
        <v>492</v>
      </c>
    </row>
    <row r="102" spans="1:5" x14ac:dyDescent="0.3">
      <c r="A102" s="1" t="s">
        <v>535</v>
      </c>
      <c r="B102" s="1">
        <v>438</v>
      </c>
      <c r="C102" s="4">
        <v>177770012353</v>
      </c>
      <c r="D102" s="1" t="s">
        <v>261</v>
      </c>
      <c r="E102" t="s">
        <v>350</v>
      </c>
    </row>
    <row r="103" spans="1:5" x14ac:dyDescent="0.3">
      <c r="A103" s="1" t="s">
        <v>532</v>
      </c>
      <c r="B103" s="1">
        <v>234</v>
      </c>
      <c r="C103" s="4">
        <v>177770015794</v>
      </c>
      <c r="D103" s="1" t="s">
        <v>262</v>
      </c>
      <c r="E103" t="s">
        <v>399</v>
      </c>
    </row>
    <row r="104" spans="1:5" x14ac:dyDescent="0.3">
      <c r="A104" s="1" t="s">
        <v>533</v>
      </c>
      <c r="B104" s="1">
        <v>230</v>
      </c>
      <c r="C104" s="4">
        <v>177770012752</v>
      </c>
      <c r="D104" s="1" t="s">
        <v>261</v>
      </c>
      <c r="E104" t="s">
        <v>360</v>
      </c>
    </row>
    <row r="105" spans="1:5" x14ac:dyDescent="0.3">
      <c r="A105" s="1" t="s">
        <v>534</v>
      </c>
      <c r="B105" s="1">
        <v>233</v>
      </c>
      <c r="C105" s="4">
        <v>177770017257</v>
      </c>
      <c r="D105" s="1" t="s">
        <v>262</v>
      </c>
      <c r="E105" t="s">
        <v>420</v>
      </c>
    </row>
    <row r="106" spans="1:5" x14ac:dyDescent="0.3">
      <c r="A106" s="1" t="s">
        <v>536</v>
      </c>
      <c r="B106" s="1">
        <v>203</v>
      </c>
      <c r="C106" s="4">
        <v>177770017526</v>
      </c>
      <c r="D106" s="1" t="s">
        <v>262</v>
      </c>
      <c r="E106" t="s">
        <v>424</v>
      </c>
    </row>
    <row r="107" spans="1:5" x14ac:dyDescent="0.3">
      <c r="A107" s="1" t="s">
        <v>533</v>
      </c>
      <c r="B107" s="1">
        <v>200</v>
      </c>
      <c r="C107" s="4">
        <v>177770021576</v>
      </c>
      <c r="D107" s="1" t="s">
        <v>171</v>
      </c>
      <c r="E107" t="s">
        <v>485</v>
      </c>
    </row>
    <row r="108" spans="1:5" x14ac:dyDescent="0.3">
      <c r="A108" s="1" t="s">
        <v>532</v>
      </c>
      <c r="B108" s="1">
        <v>201</v>
      </c>
      <c r="C108" s="4">
        <v>177770022105</v>
      </c>
      <c r="D108" s="1" t="s">
        <v>171</v>
      </c>
      <c r="E108" t="s">
        <v>493</v>
      </c>
    </row>
    <row r="109" spans="1:5" x14ac:dyDescent="0.3">
      <c r="A109" s="1" t="s">
        <v>535</v>
      </c>
      <c r="B109" s="1">
        <v>269</v>
      </c>
      <c r="C109" s="4">
        <v>177770020727</v>
      </c>
      <c r="D109" s="1" t="s">
        <v>171</v>
      </c>
      <c r="E109" t="s">
        <v>471</v>
      </c>
    </row>
    <row r="110" spans="1:5" x14ac:dyDescent="0.3">
      <c r="A110" s="1" t="s">
        <v>535</v>
      </c>
      <c r="B110" s="1">
        <v>387</v>
      </c>
      <c r="C110" s="4">
        <v>177770023066</v>
      </c>
      <c r="D110" s="1" t="s">
        <v>172</v>
      </c>
      <c r="E110" t="s">
        <v>510</v>
      </c>
    </row>
    <row r="111" spans="1:5" x14ac:dyDescent="0.3">
      <c r="A111" s="1" t="s">
        <v>533</v>
      </c>
      <c r="B111" s="1">
        <v>351</v>
      </c>
      <c r="C111" s="4">
        <v>177770023332</v>
      </c>
      <c r="D111" s="1" t="s">
        <v>172</v>
      </c>
      <c r="E111" t="s">
        <v>525</v>
      </c>
    </row>
    <row r="112" spans="1:5" x14ac:dyDescent="0.3">
      <c r="A112" s="1" t="s">
        <v>535</v>
      </c>
      <c r="B112" s="1">
        <v>284</v>
      </c>
      <c r="C112" s="4">
        <v>177770020758</v>
      </c>
      <c r="D112" s="1" t="s">
        <v>54</v>
      </c>
      <c r="E112" t="s">
        <v>473</v>
      </c>
    </row>
    <row r="113" spans="1:5" x14ac:dyDescent="0.3">
      <c r="A113" s="1" t="s">
        <v>533</v>
      </c>
      <c r="B113" s="1">
        <v>267</v>
      </c>
      <c r="C113" s="4">
        <v>177770021860</v>
      </c>
      <c r="D113" s="1" t="s">
        <v>54</v>
      </c>
      <c r="E113" t="s">
        <v>488</v>
      </c>
    </row>
    <row r="114" spans="1:5" x14ac:dyDescent="0.3">
      <c r="A114" s="1" t="s">
        <v>533</v>
      </c>
      <c r="B114" s="1">
        <v>301</v>
      </c>
      <c r="C114" s="4">
        <v>177770023145</v>
      </c>
      <c r="D114" s="1" t="s">
        <v>68</v>
      </c>
      <c r="E114" t="s">
        <v>519</v>
      </c>
    </row>
    <row r="115" spans="1:5" x14ac:dyDescent="0.3">
      <c r="A115" s="1" t="s">
        <v>535</v>
      </c>
      <c r="B115" s="1">
        <v>318</v>
      </c>
      <c r="C115" s="4">
        <v>177770023089</v>
      </c>
      <c r="D115" s="1" t="s">
        <v>68</v>
      </c>
      <c r="E115" t="s">
        <v>512</v>
      </c>
    </row>
    <row r="116" spans="1:5" x14ac:dyDescent="0.3">
      <c r="A116" s="1" t="s">
        <v>533</v>
      </c>
      <c r="B116" s="1">
        <v>287</v>
      </c>
      <c r="C116" s="4">
        <v>177770013087</v>
      </c>
      <c r="D116" s="1" t="s">
        <v>282</v>
      </c>
      <c r="E116" t="s">
        <v>361</v>
      </c>
    </row>
    <row r="117" spans="1:5" x14ac:dyDescent="0.3">
      <c r="A117" s="1" t="s">
        <v>533</v>
      </c>
      <c r="B117" s="1">
        <v>286</v>
      </c>
      <c r="C117" s="4">
        <v>177770013402</v>
      </c>
      <c r="D117" s="1" t="s">
        <v>282</v>
      </c>
      <c r="E117" t="s">
        <v>362</v>
      </c>
    </row>
    <row r="118" spans="1:5" x14ac:dyDescent="0.3">
      <c r="A118" s="1" t="s">
        <v>535</v>
      </c>
      <c r="B118" s="1">
        <v>208</v>
      </c>
      <c r="C118" s="4">
        <v>177770021333</v>
      </c>
      <c r="D118" s="1" t="s">
        <v>137</v>
      </c>
      <c r="E118" t="s">
        <v>481</v>
      </c>
    </row>
    <row r="119" spans="1:5" x14ac:dyDescent="0.3">
      <c r="A119" s="1" t="s">
        <v>533</v>
      </c>
      <c r="B119" s="1">
        <v>180</v>
      </c>
      <c r="C119" s="4">
        <v>177770023220</v>
      </c>
      <c r="D119" s="1" t="s">
        <v>137</v>
      </c>
      <c r="E119" t="s">
        <v>522</v>
      </c>
    </row>
    <row r="120" spans="1:5" x14ac:dyDescent="0.3">
      <c r="A120" s="1" t="s">
        <v>535</v>
      </c>
      <c r="B120" s="1">
        <v>220</v>
      </c>
      <c r="C120" s="4">
        <v>177770020115</v>
      </c>
      <c r="D120" s="1" t="s">
        <v>136</v>
      </c>
      <c r="E120" t="s">
        <v>459</v>
      </c>
    </row>
    <row r="121" spans="1:5" x14ac:dyDescent="0.3">
      <c r="A121" s="1" t="s">
        <v>533</v>
      </c>
      <c r="B121" s="1">
        <v>227</v>
      </c>
      <c r="C121" s="4">
        <v>177770020524</v>
      </c>
      <c r="D121" s="1" t="s">
        <v>136</v>
      </c>
      <c r="E121" t="s">
        <v>468</v>
      </c>
    </row>
    <row r="122" spans="1:5" x14ac:dyDescent="0.3">
      <c r="A122" s="1" t="s">
        <v>534</v>
      </c>
      <c r="B122" s="1">
        <v>438</v>
      </c>
      <c r="C122" s="4">
        <v>177770023158</v>
      </c>
      <c r="D122" s="1" t="s">
        <v>191</v>
      </c>
      <c r="E122" t="s">
        <v>520</v>
      </c>
    </row>
    <row r="123" spans="1:5" x14ac:dyDescent="0.3">
      <c r="A123" s="1" t="s">
        <v>535</v>
      </c>
      <c r="B123" s="1">
        <v>444</v>
      </c>
      <c r="C123" s="4">
        <v>177770021554</v>
      </c>
      <c r="D123" s="1" t="s">
        <v>190</v>
      </c>
      <c r="E123" t="s">
        <v>484</v>
      </c>
    </row>
    <row r="124" spans="1:5" x14ac:dyDescent="0.3">
      <c r="A124" s="1" t="s">
        <v>532</v>
      </c>
      <c r="B124" s="1">
        <v>411</v>
      </c>
      <c r="C124" s="4">
        <v>177770022804</v>
      </c>
      <c r="D124" s="1" t="s">
        <v>191</v>
      </c>
      <c r="E124" t="s">
        <v>505</v>
      </c>
    </row>
    <row r="125" spans="1:5" x14ac:dyDescent="0.3">
      <c r="A125" s="1" t="s">
        <v>533</v>
      </c>
      <c r="B125" s="1">
        <v>352</v>
      </c>
      <c r="C125" s="4">
        <v>177770022049</v>
      </c>
      <c r="D125" s="1" t="s">
        <v>190</v>
      </c>
      <c r="E125" t="s">
        <v>491</v>
      </c>
    </row>
    <row r="126" spans="1:5" x14ac:dyDescent="0.3">
      <c r="A126" s="1" t="s">
        <v>535</v>
      </c>
      <c r="B126" s="1">
        <v>293</v>
      </c>
      <c r="C126" s="4">
        <v>177770021199</v>
      </c>
      <c r="D126" s="1" t="s">
        <v>196</v>
      </c>
      <c r="E126" t="s">
        <v>478</v>
      </c>
    </row>
    <row r="127" spans="1:5" x14ac:dyDescent="0.3">
      <c r="A127" s="1" t="s">
        <v>533</v>
      </c>
      <c r="B127" s="1">
        <v>252</v>
      </c>
      <c r="C127" s="4">
        <v>177770022819</v>
      </c>
      <c r="D127" s="1" t="s">
        <v>196</v>
      </c>
      <c r="E127" t="s">
        <v>508</v>
      </c>
    </row>
    <row r="128" spans="1:5" x14ac:dyDescent="0.3">
      <c r="A128" s="1" t="s">
        <v>535</v>
      </c>
      <c r="B128" s="1">
        <v>349</v>
      </c>
      <c r="C128" s="4">
        <v>177770018946</v>
      </c>
      <c r="D128" s="1" t="s">
        <v>317</v>
      </c>
      <c r="E128" t="s">
        <v>450</v>
      </c>
    </row>
    <row r="129" spans="1:5" x14ac:dyDescent="0.3">
      <c r="A129" s="1" t="s">
        <v>533</v>
      </c>
      <c r="B129" s="1">
        <v>144</v>
      </c>
      <c r="C129" s="4">
        <v>177770013999</v>
      </c>
      <c r="D129" s="1" t="s">
        <v>302</v>
      </c>
      <c r="E129" t="s">
        <v>368</v>
      </c>
    </row>
    <row r="130" spans="1:5" x14ac:dyDescent="0.3">
      <c r="A130" s="1" t="s">
        <v>534</v>
      </c>
      <c r="B130" s="1">
        <v>217</v>
      </c>
      <c r="C130" s="4">
        <v>177770020417</v>
      </c>
      <c r="D130" s="1" t="s">
        <v>46</v>
      </c>
      <c r="E130" t="s">
        <v>465</v>
      </c>
    </row>
    <row r="131" spans="1:5" x14ac:dyDescent="0.3">
      <c r="A131" s="1" t="s">
        <v>532</v>
      </c>
      <c r="B131" s="1">
        <v>210</v>
      </c>
      <c r="C131" s="4">
        <v>177770018767</v>
      </c>
      <c r="D131" s="1" t="s">
        <v>46</v>
      </c>
      <c r="E131" t="s">
        <v>447</v>
      </c>
    </row>
    <row r="132" spans="1:5" x14ac:dyDescent="0.3">
      <c r="A132" s="1" t="s">
        <v>536</v>
      </c>
      <c r="B132" s="1">
        <v>306</v>
      </c>
      <c r="C132" s="4">
        <v>177770021312</v>
      </c>
      <c r="D132" s="1" t="s">
        <v>46</v>
      </c>
      <c r="E132" t="s">
        <v>479</v>
      </c>
    </row>
    <row r="133" spans="1:5" x14ac:dyDescent="0.3">
      <c r="A133" s="1" t="s">
        <v>538</v>
      </c>
      <c r="B133" s="1">
        <v>286</v>
      </c>
      <c r="C133" s="4">
        <v>177770022368</v>
      </c>
      <c r="D133" s="1" t="s">
        <v>47</v>
      </c>
      <c r="E133" t="s">
        <v>497</v>
      </c>
    </row>
    <row r="134" spans="1:5" x14ac:dyDescent="0.3">
      <c r="A134" s="1" t="s">
        <v>535</v>
      </c>
      <c r="B134" s="1">
        <v>300</v>
      </c>
      <c r="C134" s="4">
        <v>177770015869</v>
      </c>
      <c r="D134" s="1" t="s">
        <v>239</v>
      </c>
      <c r="E134" t="s">
        <v>400</v>
      </c>
    </row>
    <row r="135" spans="1:5" x14ac:dyDescent="0.3">
      <c r="A135" s="1" t="s">
        <v>533</v>
      </c>
      <c r="B135" s="1">
        <v>241</v>
      </c>
      <c r="C135" s="4">
        <v>177770016026</v>
      </c>
      <c r="D135" s="1" t="s">
        <v>239</v>
      </c>
      <c r="E135" t="s">
        <v>403</v>
      </c>
    </row>
    <row r="136" spans="1:5" x14ac:dyDescent="0.3">
      <c r="A136" s="1" t="s">
        <v>535</v>
      </c>
      <c r="B136" s="1">
        <v>187</v>
      </c>
      <c r="C136" s="4">
        <v>177770016380</v>
      </c>
      <c r="D136" s="1" t="s">
        <v>246</v>
      </c>
      <c r="E136" t="s">
        <v>408</v>
      </c>
    </row>
    <row r="137" spans="1:5" x14ac:dyDescent="0.3">
      <c r="A137" s="1" t="s">
        <v>535</v>
      </c>
      <c r="B137" s="1">
        <v>184</v>
      </c>
      <c r="C137" s="4">
        <v>177770016386</v>
      </c>
      <c r="D137" s="1" t="s">
        <v>247</v>
      </c>
      <c r="E137" t="s">
        <v>410</v>
      </c>
    </row>
    <row r="138" spans="1:5" x14ac:dyDescent="0.3">
      <c r="A138" s="1" t="s">
        <v>535</v>
      </c>
      <c r="B138" s="1">
        <v>341</v>
      </c>
      <c r="C138" s="4">
        <v>177770022534</v>
      </c>
      <c r="D138" s="1" t="s">
        <v>78</v>
      </c>
      <c r="E138" t="s">
        <v>500</v>
      </c>
    </row>
    <row r="139" spans="1:5" x14ac:dyDescent="0.3">
      <c r="A139" s="1" t="s">
        <v>533</v>
      </c>
      <c r="B139" s="1">
        <v>283</v>
      </c>
      <c r="C139" s="4">
        <v>177770023118</v>
      </c>
      <c r="D139" s="1" t="s">
        <v>78</v>
      </c>
      <c r="E139" t="s">
        <v>516</v>
      </c>
    </row>
    <row r="140" spans="1:5" x14ac:dyDescent="0.3">
      <c r="A140" s="1" t="s">
        <v>533</v>
      </c>
      <c r="B140" s="1">
        <v>178</v>
      </c>
      <c r="C140" s="4">
        <v>177770016384</v>
      </c>
      <c r="D140" s="1" t="s">
        <v>273</v>
      </c>
      <c r="E140" t="s">
        <v>409</v>
      </c>
    </row>
    <row r="141" spans="1:5" x14ac:dyDescent="0.3">
      <c r="A141" s="1" t="s">
        <v>535</v>
      </c>
      <c r="B141" s="1">
        <v>293</v>
      </c>
      <c r="C141" s="4">
        <v>177770016294</v>
      </c>
      <c r="D141" s="1" t="s">
        <v>273</v>
      </c>
      <c r="E141" t="s">
        <v>407</v>
      </c>
    </row>
    <row r="142" spans="1:5" x14ac:dyDescent="0.3">
      <c r="A142" s="1" t="s">
        <v>535</v>
      </c>
      <c r="B142" s="1">
        <v>70</v>
      </c>
      <c r="C142" s="4">
        <v>177770020162</v>
      </c>
      <c r="D142" s="1" t="s">
        <v>263</v>
      </c>
      <c r="E142" t="s">
        <v>460</v>
      </c>
    </row>
    <row r="143" spans="1:5" x14ac:dyDescent="0.3">
      <c r="A143" s="1" t="s">
        <v>535</v>
      </c>
      <c r="B143" s="1">
        <v>47</v>
      </c>
      <c r="C143" s="4">
        <v>177770020165</v>
      </c>
      <c r="D143" s="1" t="s">
        <v>264</v>
      </c>
      <c r="E143" t="s">
        <v>461</v>
      </c>
    </row>
    <row r="144" spans="1:5" x14ac:dyDescent="0.3">
      <c r="A144" s="1" t="s">
        <v>535</v>
      </c>
      <c r="B144" s="1">
        <v>247</v>
      </c>
      <c r="C144" s="4">
        <v>177770016605</v>
      </c>
      <c r="D144" s="1" t="s">
        <v>91</v>
      </c>
      <c r="E144" t="s">
        <v>411</v>
      </c>
    </row>
    <row r="145" spans="1:5" x14ac:dyDescent="0.3">
      <c r="A145" s="1" t="s">
        <v>535</v>
      </c>
      <c r="B145" s="1">
        <v>313</v>
      </c>
      <c r="C145" s="4">
        <v>177770022536</v>
      </c>
      <c r="D145" s="1" t="s">
        <v>93</v>
      </c>
      <c r="E145" t="s">
        <v>501</v>
      </c>
    </row>
    <row r="146" spans="1:5" x14ac:dyDescent="0.3">
      <c r="A146" s="1" t="s">
        <v>535</v>
      </c>
      <c r="B146" s="1">
        <v>348</v>
      </c>
      <c r="C146" s="4">
        <v>177770023182</v>
      </c>
      <c r="D146" s="1" t="s">
        <v>97</v>
      </c>
      <c r="E146" t="s">
        <v>521</v>
      </c>
    </row>
    <row r="147" spans="1:5" x14ac:dyDescent="0.3">
      <c r="A147" s="1" t="s">
        <v>535</v>
      </c>
      <c r="B147" s="1">
        <v>218</v>
      </c>
      <c r="C147" s="4">
        <v>177770020017</v>
      </c>
      <c r="D147" s="1" t="s">
        <v>95</v>
      </c>
      <c r="E147" t="s">
        <v>458</v>
      </c>
    </row>
    <row r="148" spans="1:5" x14ac:dyDescent="0.3">
      <c r="A148" s="1" t="s">
        <v>533</v>
      </c>
      <c r="B148" s="1">
        <v>182</v>
      </c>
      <c r="C148" s="4">
        <v>177770020551</v>
      </c>
      <c r="D148" s="1" t="s">
        <v>95</v>
      </c>
      <c r="E148" t="s">
        <v>469</v>
      </c>
    </row>
    <row r="149" spans="1:5" x14ac:dyDescent="0.3">
      <c r="A149" s="1" t="s">
        <v>538</v>
      </c>
      <c r="B149" s="1">
        <v>132</v>
      </c>
      <c r="C149" s="4">
        <v>177770018944</v>
      </c>
      <c r="D149" s="1" t="s">
        <v>254</v>
      </c>
      <c r="E149" t="s">
        <v>449</v>
      </c>
    </row>
    <row r="150" spans="1:5" x14ac:dyDescent="0.3">
      <c r="A150" s="1" t="s">
        <v>537</v>
      </c>
      <c r="B150" s="1">
        <v>132</v>
      </c>
      <c r="C150" s="4">
        <v>177770019439</v>
      </c>
      <c r="D150" s="1" t="s">
        <v>254</v>
      </c>
      <c r="E150" t="s">
        <v>454</v>
      </c>
    </row>
    <row r="151" spans="1:5" x14ac:dyDescent="0.3">
      <c r="A151" s="1" t="s">
        <v>536</v>
      </c>
      <c r="B151" s="1">
        <v>176</v>
      </c>
      <c r="C151" s="4">
        <v>177770018624</v>
      </c>
      <c r="D151" s="1" t="s">
        <v>254</v>
      </c>
      <c r="E151" t="s">
        <v>445</v>
      </c>
    </row>
    <row r="152" spans="1:5" x14ac:dyDescent="0.3">
      <c r="A152" s="1" t="s">
        <v>535</v>
      </c>
      <c r="B152" s="1">
        <v>324</v>
      </c>
      <c r="C152" s="4">
        <v>177770016833</v>
      </c>
      <c r="D152" s="1" t="s">
        <v>253</v>
      </c>
      <c r="E152" t="s">
        <v>416</v>
      </c>
    </row>
    <row r="153" spans="1:5" x14ac:dyDescent="0.3">
      <c r="A153" s="1" t="s">
        <v>533</v>
      </c>
      <c r="B153" s="1">
        <v>136</v>
      </c>
      <c r="C153" s="4">
        <v>177770017470</v>
      </c>
      <c r="D153" s="1" t="s">
        <v>253</v>
      </c>
      <c r="E153" t="s">
        <v>423</v>
      </c>
    </row>
    <row r="154" spans="1:5" x14ac:dyDescent="0.3">
      <c r="A154" s="1" t="s">
        <v>532</v>
      </c>
      <c r="B154" s="1">
        <v>126</v>
      </c>
      <c r="C154" s="4">
        <v>177770018088</v>
      </c>
      <c r="D154" s="1" t="s">
        <v>253</v>
      </c>
      <c r="E154" t="s">
        <v>436</v>
      </c>
    </row>
    <row r="155" spans="1:5" x14ac:dyDescent="0.3">
      <c r="A155" s="1" t="s">
        <v>534</v>
      </c>
      <c r="B155" s="1">
        <v>129</v>
      </c>
      <c r="C155" s="4">
        <v>177770018360</v>
      </c>
      <c r="D155" s="1" t="s">
        <v>253</v>
      </c>
      <c r="E155" t="s">
        <v>442</v>
      </c>
    </row>
    <row r="156" spans="1:5" x14ac:dyDescent="0.3">
      <c r="A156" s="1" t="s">
        <v>533</v>
      </c>
      <c r="B156" s="1">
        <v>166</v>
      </c>
      <c r="C156" s="4">
        <v>177770022248</v>
      </c>
      <c r="D156" s="1" t="s">
        <v>274</v>
      </c>
      <c r="E156" t="s">
        <v>495</v>
      </c>
    </row>
    <row r="157" spans="1:5" x14ac:dyDescent="0.3">
      <c r="A157" s="1" t="s">
        <v>535</v>
      </c>
      <c r="B157" s="1">
        <v>273</v>
      </c>
      <c r="C157" s="4">
        <v>177770019929</v>
      </c>
      <c r="D157" s="1" t="s">
        <v>274</v>
      </c>
      <c r="E157" t="s">
        <v>457</v>
      </c>
    </row>
    <row r="158" spans="1:5" x14ac:dyDescent="0.3">
      <c r="A158" s="1" t="s">
        <v>535</v>
      </c>
      <c r="B158" s="1">
        <v>174</v>
      </c>
      <c r="C158" s="4">
        <v>177770022585</v>
      </c>
      <c r="D158" s="1" t="s">
        <v>110</v>
      </c>
      <c r="E158" t="s">
        <v>504</v>
      </c>
    </row>
    <row r="159" spans="1:5" x14ac:dyDescent="0.3">
      <c r="A159" s="1" t="s">
        <v>533</v>
      </c>
      <c r="B159" s="1">
        <v>185</v>
      </c>
      <c r="C159" s="4">
        <v>177770023121</v>
      </c>
      <c r="D159" s="1" t="s">
        <v>110</v>
      </c>
      <c r="E159" t="s">
        <v>517</v>
      </c>
    </row>
    <row r="160" spans="1:5" x14ac:dyDescent="0.3">
      <c r="A160" s="1" t="s">
        <v>533</v>
      </c>
      <c r="B160" s="1">
        <v>152</v>
      </c>
      <c r="C160" s="4">
        <v>177770014665</v>
      </c>
      <c r="D160" s="1" t="s">
        <v>281</v>
      </c>
      <c r="E160" t="s">
        <v>377</v>
      </c>
    </row>
    <row r="161" spans="1:5" x14ac:dyDescent="0.3">
      <c r="A161" s="1" t="s">
        <v>535</v>
      </c>
      <c r="B161" s="1">
        <v>266</v>
      </c>
      <c r="C161" s="4">
        <v>177770013953</v>
      </c>
      <c r="D161" s="1" t="s">
        <v>281</v>
      </c>
      <c r="E161" t="s">
        <v>366</v>
      </c>
    </row>
    <row r="162" spans="1:5" x14ac:dyDescent="0.3">
      <c r="A162" s="1" t="s">
        <v>535</v>
      </c>
      <c r="B162" s="1">
        <v>147</v>
      </c>
      <c r="C162" s="4">
        <v>177770020510</v>
      </c>
      <c r="D162" s="1" t="s">
        <v>278</v>
      </c>
      <c r="E162" t="s">
        <v>467</v>
      </c>
    </row>
    <row r="163" spans="1:5" x14ac:dyDescent="0.3">
      <c r="A163" s="1" t="s">
        <v>535</v>
      </c>
      <c r="B163" s="1">
        <v>273</v>
      </c>
      <c r="C163" s="4">
        <v>177770016750</v>
      </c>
      <c r="D163" s="1" t="s">
        <v>277</v>
      </c>
      <c r="E163" t="s">
        <v>415</v>
      </c>
    </row>
    <row r="164" spans="1:5" x14ac:dyDescent="0.3">
      <c r="A164" s="1" t="s">
        <v>533</v>
      </c>
      <c r="B164" s="1">
        <v>232</v>
      </c>
      <c r="C164" s="4">
        <v>177770017541</v>
      </c>
      <c r="D164" s="1" t="s">
        <v>277</v>
      </c>
      <c r="E164" t="s">
        <v>425</v>
      </c>
    </row>
    <row r="165" spans="1:5" x14ac:dyDescent="0.3">
      <c r="A165" s="1" t="s">
        <v>532</v>
      </c>
      <c r="B165" s="1">
        <v>154</v>
      </c>
      <c r="C165" s="4">
        <v>177770018597</v>
      </c>
      <c r="D165" s="1" t="s">
        <v>277</v>
      </c>
      <c r="E165" t="s">
        <v>443</v>
      </c>
    </row>
    <row r="166" spans="1:5" x14ac:dyDescent="0.3">
      <c r="A166" s="1" t="s">
        <v>536</v>
      </c>
      <c r="B166" s="1">
        <v>148</v>
      </c>
      <c r="C166" s="4">
        <v>177770014048</v>
      </c>
      <c r="D166" s="1" t="s">
        <v>291</v>
      </c>
      <c r="E166" t="s">
        <v>370</v>
      </c>
    </row>
    <row r="167" spans="1:5" x14ac:dyDescent="0.3">
      <c r="A167" s="1" t="s">
        <v>538</v>
      </c>
      <c r="B167" s="1">
        <v>120</v>
      </c>
      <c r="C167" s="4">
        <v>177770015554</v>
      </c>
      <c r="D167" s="1" t="s">
        <v>293</v>
      </c>
      <c r="E167" t="s">
        <v>397</v>
      </c>
    </row>
    <row r="168" spans="1:5" x14ac:dyDescent="0.3">
      <c r="A168" s="1" t="s">
        <v>537</v>
      </c>
      <c r="B168" s="1">
        <v>176</v>
      </c>
      <c r="C168" s="4">
        <v>177770016021</v>
      </c>
      <c r="D168" s="1" t="s">
        <v>294</v>
      </c>
      <c r="E168" t="s">
        <v>402</v>
      </c>
    </row>
    <row r="169" spans="1:5" x14ac:dyDescent="0.3">
      <c r="A169" s="1" t="s">
        <v>535</v>
      </c>
      <c r="B169" s="1">
        <v>216</v>
      </c>
      <c r="C169" s="4">
        <v>177770012033</v>
      </c>
      <c r="D169" s="1" t="s">
        <v>296</v>
      </c>
      <c r="E169" t="s">
        <v>348</v>
      </c>
    </row>
    <row r="170" spans="1:5" x14ac:dyDescent="0.3">
      <c r="A170" s="1" t="s">
        <v>533</v>
      </c>
      <c r="B170" s="1">
        <v>192</v>
      </c>
      <c r="C170" s="4">
        <v>177770013718</v>
      </c>
      <c r="D170" s="1" t="s">
        <v>296</v>
      </c>
      <c r="E170" t="s">
        <v>364</v>
      </c>
    </row>
    <row r="171" spans="1:5" x14ac:dyDescent="0.3">
      <c r="A171" s="1" t="s">
        <v>533</v>
      </c>
      <c r="B171" s="1">
        <v>193</v>
      </c>
      <c r="C171" s="4">
        <v>177770015159</v>
      </c>
      <c r="D171" s="1" t="s">
        <v>297</v>
      </c>
      <c r="E171" t="s">
        <v>390</v>
      </c>
    </row>
    <row r="172" spans="1:5" x14ac:dyDescent="0.3">
      <c r="A172" s="1" t="s">
        <v>532</v>
      </c>
      <c r="B172" s="1">
        <v>124</v>
      </c>
      <c r="C172" s="4">
        <v>177770016047</v>
      </c>
      <c r="D172" s="1" t="s">
        <v>297</v>
      </c>
      <c r="E172" t="s">
        <v>404</v>
      </c>
    </row>
    <row r="173" spans="1:5" x14ac:dyDescent="0.3">
      <c r="A173" s="1" t="s">
        <v>535</v>
      </c>
      <c r="B173" s="1">
        <v>148</v>
      </c>
      <c r="C173" s="4">
        <v>177770016638</v>
      </c>
      <c r="D173" s="1" t="s">
        <v>298</v>
      </c>
      <c r="E173" t="s">
        <v>413</v>
      </c>
    </row>
    <row r="174" spans="1:5" x14ac:dyDescent="0.3">
      <c r="A174" s="1" t="s">
        <v>535</v>
      </c>
      <c r="B174" s="1">
        <v>182</v>
      </c>
      <c r="C174" s="4">
        <v>177770014646</v>
      </c>
      <c r="D174" s="1" t="s">
        <v>297</v>
      </c>
      <c r="E174" t="s">
        <v>376</v>
      </c>
    </row>
    <row r="175" spans="1:5" x14ac:dyDescent="0.3">
      <c r="A175" s="1" t="s">
        <v>533</v>
      </c>
      <c r="B175" s="1">
        <v>214</v>
      </c>
      <c r="C175" s="4">
        <v>177770013514</v>
      </c>
      <c r="D175" s="1" t="s">
        <v>302</v>
      </c>
      <c r="E175" t="s">
        <v>363</v>
      </c>
    </row>
    <row r="176" spans="1:5" x14ac:dyDescent="0.3">
      <c r="A176" s="1" t="s">
        <v>532</v>
      </c>
      <c r="B176" s="1">
        <v>144</v>
      </c>
      <c r="C176" s="4">
        <v>177770014411</v>
      </c>
      <c r="D176" s="1" t="s">
        <v>301</v>
      </c>
      <c r="E176" t="s">
        <v>373</v>
      </c>
    </row>
    <row r="177" spans="1:5" x14ac:dyDescent="0.3">
      <c r="A177" s="1" t="s">
        <v>535</v>
      </c>
      <c r="B177" s="1">
        <v>158</v>
      </c>
      <c r="C177" s="4">
        <v>177770015016</v>
      </c>
      <c r="D177" s="1" t="s">
        <v>307</v>
      </c>
      <c r="E177" t="s">
        <v>380</v>
      </c>
    </row>
    <row r="178" spans="1:5" x14ac:dyDescent="0.3">
      <c r="A178" s="1" t="s">
        <v>533</v>
      </c>
      <c r="B178" s="1">
        <v>153</v>
      </c>
      <c r="C178" s="4">
        <v>177770010902</v>
      </c>
      <c r="D178" s="1" t="s">
        <v>307</v>
      </c>
      <c r="E178" t="s">
        <v>346</v>
      </c>
    </row>
    <row r="179" spans="1:5" x14ac:dyDescent="0.3">
      <c r="A179" s="1" t="s">
        <v>532</v>
      </c>
      <c r="B179" s="1">
        <v>152</v>
      </c>
      <c r="C179" s="4">
        <v>177770011395</v>
      </c>
      <c r="D179" s="1" t="s">
        <v>307</v>
      </c>
      <c r="E179" t="s">
        <v>347</v>
      </c>
    </row>
    <row r="180" spans="1:5" x14ac:dyDescent="0.3">
      <c r="A180" s="1" t="s">
        <v>534</v>
      </c>
      <c r="B180" s="1">
        <v>23</v>
      </c>
      <c r="C180" s="4">
        <v>177770015031</v>
      </c>
      <c r="D180" s="1" t="s">
        <v>307</v>
      </c>
      <c r="E180" t="s">
        <v>381</v>
      </c>
    </row>
    <row r="181" spans="1:5" x14ac:dyDescent="0.3">
      <c r="A181" s="1" t="s">
        <v>533</v>
      </c>
      <c r="B181" s="1">
        <v>165</v>
      </c>
      <c r="C181" s="4">
        <v>177770012743</v>
      </c>
      <c r="D181" s="1" t="s">
        <v>312</v>
      </c>
      <c r="E181" t="s">
        <v>357</v>
      </c>
    </row>
    <row r="182" spans="1:5" x14ac:dyDescent="0.3">
      <c r="A182" s="1" t="s">
        <v>532</v>
      </c>
      <c r="B182" s="1">
        <v>153</v>
      </c>
      <c r="C182" s="4">
        <v>177770012751</v>
      </c>
      <c r="D182" s="1" t="s">
        <v>312</v>
      </c>
      <c r="E182" t="s">
        <v>359</v>
      </c>
    </row>
    <row r="183" spans="1:5" x14ac:dyDescent="0.3">
      <c r="A183" s="1" t="s">
        <v>535</v>
      </c>
      <c r="B183" s="1">
        <v>257</v>
      </c>
      <c r="C183" s="4">
        <v>177770012455</v>
      </c>
      <c r="D183" s="1" t="s">
        <v>312</v>
      </c>
      <c r="E183" t="s">
        <v>352</v>
      </c>
    </row>
    <row r="184" spans="1:5" x14ac:dyDescent="0.3">
      <c r="A184" s="1" t="s">
        <v>533</v>
      </c>
      <c r="B184" s="1">
        <v>174</v>
      </c>
      <c r="C184" s="4">
        <v>177770012713</v>
      </c>
      <c r="D184" s="1" t="s">
        <v>315</v>
      </c>
      <c r="E184" t="s">
        <v>356</v>
      </c>
    </row>
    <row r="185" spans="1:5" x14ac:dyDescent="0.3">
      <c r="A185" s="1" t="s">
        <v>534</v>
      </c>
      <c r="B185" s="1">
        <v>259</v>
      </c>
      <c r="C185" s="4">
        <v>177770014208</v>
      </c>
      <c r="D185" s="1" t="s">
        <v>316</v>
      </c>
      <c r="E185" t="s">
        <v>371</v>
      </c>
    </row>
    <row r="186" spans="1:5" x14ac:dyDescent="0.3">
      <c r="A186" s="1" t="s">
        <v>536</v>
      </c>
      <c r="B186" s="1">
        <v>191</v>
      </c>
      <c r="C186" s="4">
        <v>177770014407</v>
      </c>
      <c r="D186" s="1" t="s">
        <v>316</v>
      </c>
      <c r="E186" t="s">
        <v>372</v>
      </c>
    </row>
    <row r="187" spans="1:5" x14ac:dyDescent="0.3">
      <c r="A187" s="1" t="s">
        <v>535</v>
      </c>
      <c r="B187" s="1">
        <v>252</v>
      </c>
      <c r="C187" s="4">
        <v>177770012666</v>
      </c>
      <c r="D187" s="1" t="s">
        <v>315</v>
      </c>
      <c r="E187" t="s">
        <v>353</v>
      </c>
    </row>
  </sheetData>
  <autoFilter ref="A1:E187" xr:uid="{FE34ACCA-0A8B-4C8D-A3A7-9D9A91D36CE0}"/>
  <phoneticPr fontId="1" type="noConversion"/>
  <conditionalFormatting sqref="D5:D8">
    <cfRule type="expression" dxfId="1" priority="2">
      <formula>#REF!="&gt;&gt;&gt; Novo Item"</formula>
    </cfRule>
  </conditionalFormatting>
  <conditionalFormatting sqref="D49:D50">
    <cfRule type="expression" dxfId="0" priority="1">
      <formula>#REF!="&gt;&gt;&gt; Novo Item"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Comercial</vt:lpstr>
      <vt:lpstr>Obras</vt:lpstr>
      <vt:lpstr>DI</vt:lpstr>
      <vt:lpstr>Proj. Infra</vt:lpstr>
      <vt:lpstr>Projeto</vt:lpstr>
      <vt:lpstr>Empresa</vt:lpstr>
      <vt:lpstr>Centro de Custo</vt:lpstr>
      <vt:lpstr>Empreendimento</vt:lpstr>
      <vt:lpstr>Módulo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Prates da Costa</dc:creator>
  <cp:lastModifiedBy>Erick David de Souza Santos</cp:lastModifiedBy>
  <cp:lastPrinted>2026-01-23T21:46:03Z</cp:lastPrinted>
  <dcterms:created xsi:type="dcterms:W3CDTF">2025-12-18T20:17:26Z</dcterms:created>
  <dcterms:modified xsi:type="dcterms:W3CDTF">2026-04-07T12:23:03Z</dcterms:modified>
</cp:coreProperties>
</file>